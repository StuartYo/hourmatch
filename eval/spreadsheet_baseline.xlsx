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ev" sheetId="2" state="visible" r:id="rId2"/>
    <sheet xmlns:r="http://schemas.openxmlformats.org/officeDocument/2006/relationships" name="claims_dev" sheetId="3" state="visible" r:id="rId3"/>
    <sheet xmlns:r="http://schemas.openxmlformats.org/officeDocument/2006/relationships" name="data_holdout" sheetId="4" state="visible" r:id="rId4"/>
    <sheet xmlns:r="http://schemas.openxmlformats.org/officeDocument/2006/relationships" name="claims_hold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baseline for HourMatch (all companies and plants fictional; generation curves are real Taipower data).</t>
        </is>
      </c>
    </row>
    <row r="2">
      <c r="A2" t="inlineStr">
        <is>
          <t>data_* sheets: one row per company per hour. matched = MIN(use, certs). old_matched = MIN(old_certs, MAX(0, use - (certs - old_certs))).</t>
        </is>
      </c>
    </row>
    <row r="3">
      <c r="A3" t="inlineStr">
        <is>
          <t>claims_* sheets: claim fields as a person would read them, then SUMPRODUCT formulas give the shares and the verdict.</t>
        </is>
      </c>
    </row>
    <row r="4">
      <c r="A4" t="inlineStr">
        <is>
          <t>A claim holds if claimed% x 100 &lt;= share + 50 basis points. RE100: plants commissioned before 2011 may cover at most 15% of use.</t>
        </is>
      </c>
    </row>
    <row r="5">
      <c r="A5" t="inlineStr">
        <is>
          <t>Generated by eval/make_xlsx.py; values checked against eval/results_spreadsheet.json.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dow</t>
        </is>
      </c>
      <c r="F1" s="1" t="inlineStr">
        <is>
          <t>use</t>
        </is>
      </c>
      <c r="G1" s="1" t="inlineStr">
        <is>
          <t>solar</t>
        </is>
      </c>
      <c r="H1" s="1" t="inlineStr">
        <is>
          <t>wind</t>
        </is>
      </c>
      <c r="I1" s="1" t="inlineStr">
        <is>
          <t>hydro</t>
        </is>
      </c>
      <c r="J1" s="1" t="inlineStr">
        <is>
          <t>certs</t>
        </is>
      </c>
      <c r="K1" s="1" t="inlineStr">
        <is>
          <t>old_certs</t>
        </is>
      </c>
      <c r="L1" s="1" t="inlineStr">
        <is>
          <t>matched</t>
        </is>
      </c>
      <c r="M1" s="1" t="inlineStr">
        <is>
          <t>old_matched</t>
        </is>
      </c>
    </row>
    <row r="2">
      <c r="A2" t="inlineStr">
        <is>
          <t>NORTHBAY-FAB</t>
        </is>
      </c>
      <c r="B2" t="inlineStr">
        <is>
          <t>2026-10-06</t>
        </is>
      </c>
      <c r="C2" t="n">
        <v>1</v>
      </c>
      <c r="D2" t="n">
        <v>0</v>
      </c>
      <c r="E2" t="n">
        <v>2</v>
      </c>
      <c r="F2" t="n">
        <v>21891</v>
      </c>
      <c r="G2" t="n">
        <v>0</v>
      </c>
      <c r="H2" t="n">
        <v>20000</v>
      </c>
      <c r="I2" t="n">
        <v>0</v>
      </c>
      <c r="J2" t="n">
        <v>20000</v>
      </c>
      <c r="K2" t="n">
        <v>0</v>
      </c>
      <c r="L2">
        <f>MIN(F2,J2)</f>
        <v/>
      </c>
      <c r="M2">
        <f>MIN(K2,MAX(0,F2-(J2-K2)))</f>
        <v/>
      </c>
    </row>
    <row r="3">
      <c r="A3" t="inlineStr">
        <is>
          <t>NORTHBAY-FAB</t>
        </is>
      </c>
      <c r="B3" t="inlineStr">
        <is>
          <t>2026-10-06</t>
        </is>
      </c>
      <c r="C3" t="n">
        <v>1</v>
      </c>
      <c r="D3" t="n">
        <v>1</v>
      </c>
      <c r="E3" t="n">
        <v>2</v>
      </c>
      <c r="F3" t="n">
        <v>21891</v>
      </c>
      <c r="G3" t="n">
        <v>0</v>
      </c>
      <c r="H3" t="n">
        <v>19878</v>
      </c>
      <c r="I3" t="n">
        <v>0</v>
      </c>
      <c r="J3" t="n">
        <v>19878</v>
      </c>
      <c r="K3" t="n">
        <v>0</v>
      </c>
      <c r="L3">
        <f>MIN(F3,J3)</f>
        <v/>
      </c>
      <c r="M3">
        <f>MIN(K3,MAX(0,F3-(J3-K3)))</f>
        <v/>
      </c>
    </row>
    <row r="4">
      <c r="A4" t="inlineStr">
        <is>
          <t>NORTHBAY-FAB</t>
        </is>
      </c>
      <c r="B4" t="inlineStr">
        <is>
          <t>2026-10-06</t>
        </is>
      </c>
      <c r="C4" t="n">
        <v>1</v>
      </c>
      <c r="D4" t="n">
        <v>2</v>
      </c>
      <c r="E4" t="n">
        <v>2</v>
      </c>
      <c r="F4" t="n">
        <v>21891</v>
      </c>
      <c r="G4" t="n">
        <v>0</v>
      </c>
      <c r="H4" t="n">
        <v>19578</v>
      </c>
      <c r="I4" t="n">
        <v>0</v>
      </c>
      <c r="J4" t="n">
        <v>19578</v>
      </c>
      <c r="K4" t="n">
        <v>0</v>
      </c>
      <c r="L4">
        <f>MIN(F4,J4)</f>
        <v/>
      </c>
      <c r="M4">
        <f>MIN(K4,MAX(0,F4-(J4-K4)))</f>
        <v/>
      </c>
    </row>
    <row r="5">
      <c r="A5" t="inlineStr">
        <is>
          <t>NORTHBAY-FAB</t>
        </is>
      </c>
      <c r="B5" t="inlineStr">
        <is>
          <t>2026-10-06</t>
        </is>
      </c>
      <c r="C5" t="n">
        <v>1</v>
      </c>
      <c r="D5" t="n">
        <v>3</v>
      </c>
      <c r="E5" t="n">
        <v>2</v>
      </c>
      <c r="F5" t="n">
        <v>21891</v>
      </c>
      <c r="G5" t="n">
        <v>0</v>
      </c>
      <c r="H5" t="n">
        <v>19445</v>
      </c>
      <c r="I5" t="n">
        <v>0</v>
      </c>
      <c r="J5" t="n">
        <v>19445</v>
      </c>
      <c r="K5" t="n">
        <v>0</v>
      </c>
      <c r="L5">
        <f>MIN(F5,J5)</f>
        <v/>
      </c>
      <c r="M5">
        <f>MIN(K5,MAX(0,F5-(J5-K5)))</f>
        <v/>
      </c>
    </row>
    <row r="6">
      <c r="A6" t="inlineStr">
        <is>
          <t>NORTHBAY-FAB</t>
        </is>
      </c>
      <c r="B6" t="inlineStr">
        <is>
          <t>2026-10-06</t>
        </is>
      </c>
      <c r="C6" t="n">
        <v>1</v>
      </c>
      <c r="D6" t="n">
        <v>4</v>
      </c>
      <c r="E6" t="n">
        <v>2</v>
      </c>
      <c r="F6" t="n">
        <v>21891</v>
      </c>
      <c r="G6" t="n">
        <v>0</v>
      </c>
      <c r="H6" t="n">
        <v>19367</v>
      </c>
      <c r="I6" t="n">
        <v>0</v>
      </c>
      <c r="J6" t="n">
        <v>19367</v>
      </c>
      <c r="K6" t="n">
        <v>0</v>
      </c>
      <c r="L6">
        <f>MIN(F6,J6)</f>
        <v/>
      </c>
      <c r="M6">
        <f>MIN(K6,MAX(0,F6-(J6-K6)))</f>
        <v/>
      </c>
    </row>
    <row r="7">
      <c r="A7" t="inlineStr">
        <is>
          <t>NORTHBAY-FAB</t>
        </is>
      </c>
      <c r="B7" t="inlineStr">
        <is>
          <t>2026-10-06</t>
        </is>
      </c>
      <c r="C7" t="n">
        <v>1</v>
      </c>
      <c r="D7" t="n">
        <v>5</v>
      </c>
      <c r="E7" t="n">
        <v>2</v>
      </c>
      <c r="F7" t="n">
        <v>21891</v>
      </c>
      <c r="G7" t="n">
        <v>48</v>
      </c>
      <c r="H7" t="n">
        <v>19359</v>
      </c>
      <c r="I7" t="n">
        <v>0</v>
      </c>
      <c r="J7" t="n">
        <v>19407</v>
      </c>
      <c r="K7" t="n">
        <v>0</v>
      </c>
      <c r="L7">
        <f>MIN(F7,J7)</f>
        <v/>
      </c>
      <c r="M7">
        <f>MIN(K7,MAX(0,F7-(J7-K7)))</f>
        <v/>
      </c>
    </row>
    <row r="8">
      <c r="A8" t="inlineStr">
        <is>
          <t>NORTHBAY-FAB</t>
        </is>
      </c>
      <c r="B8" t="inlineStr">
        <is>
          <t>2026-10-06</t>
        </is>
      </c>
      <c r="C8" t="n">
        <v>1</v>
      </c>
      <c r="D8" t="n">
        <v>6</v>
      </c>
      <c r="E8" t="n">
        <v>2</v>
      </c>
      <c r="F8" t="n">
        <v>21891</v>
      </c>
      <c r="G8" t="n">
        <v>695</v>
      </c>
      <c r="H8" t="n">
        <v>19312</v>
      </c>
      <c r="I8" t="n">
        <v>0</v>
      </c>
      <c r="J8" t="n">
        <v>20007</v>
      </c>
      <c r="K8" t="n">
        <v>0</v>
      </c>
      <c r="L8">
        <f>MIN(F8,J8)</f>
        <v/>
      </c>
      <c r="M8">
        <f>MIN(K8,MAX(0,F8-(J8-K8)))</f>
        <v/>
      </c>
    </row>
    <row r="9">
      <c r="A9" t="inlineStr">
        <is>
          <t>NORTHBAY-FAB</t>
        </is>
      </c>
      <c r="B9" t="inlineStr">
        <is>
          <t>2026-10-06</t>
        </is>
      </c>
      <c r="C9" t="n">
        <v>1</v>
      </c>
      <c r="D9" t="n">
        <v>7</v>
      </c>
      <c r="E9" t="n">
        <v>2</v>
      </c>
      <c r="F9" t="n">
        <v>21891</v>
      </c>
      <c r="G9" t="n">
        <v>5041</v>
      </c>
      <c r="H9" t="n">
        <v>19581</v>
      </c>
      <c r="I9" t="n">
        <v>0</v>
      </c>
      <c r="J9" t="n">
        <v>24622</v>
      </c>
      <c r="K9" t="n">
        <v>0</v>
      </c>
      <c r="L9">
        <f>MIN(F9,J9)</f>
        <v/>
      </c>
      <c r="M9">
        <f>MIN(K9,MAX(0,F9-(J9-K9)))</f>
        <v/>
      </c>
    </row>
    <row r="10">
      <c r="A10" t="inlineStr">
        <is>
          <t>NORTHBAY-FAB</t>
        </is>
      </c>
      <c r="B10" t="inlineStr">
        <is>
          <t>2026-10-06</t>
        </is>
      </c>
      <c r="C10" t="n">
        <v>1</v>
      </c>
      <c r="D10" t="n">
        <v>8</v>
      </c>
      <c r="E10" t="n">
        <v>2</v>
      </c>
      <c r="F10" t="n">
        <v>21891</v>
      </c>
      <c r="G10" t="n">
        <v>12177</v>
      </c>
      <c r="H10" t="n">
        <v>19684</v>
      </c>
      <c r="I10" t="n">
        <v>0</v>
      </c>
      <c r="J10" t="n">
        <v>31861</v>
      </c>
      <c r="K10" t="n">
        <v>0</v>
      </c>
      <c r="L10">
        <f>MIN(F10,J10)</f>
        <v/>
      </c>
      <c r="M10">
        <f>MIN(K10,MAX(0,F10-(J10-K10)))</f>
        <v/>
      </c>
    </row>
    <row r="11">
      <c r="A11" t="inlineStr">
        <is>
          <t>NORTHBAY-FAB</t>
        </is>
      </c>
      <c r="B11" t="inlineStr">
        <is>
          <t>2026-10-06</t>
        </is>
      </c>
      <c r="C11" t="n">
        <v>1</v>
      </c>
      <c r="D11" t="n">
        <v>9</v>
      </c>
      <c r="E11" t="n">
        <v>2</v>
      </c>
      <c r="F11" t="n">
        <v>21891</v>
      </c>
      <c r="G11" t="n">
        <v>18876</v>
      </c>
      <c r="H11" t="n">
        <v>19620</v>
      </c>
      <c r="I11" t="n">
        <v>0</v>
      </c>
      <c r="J11" t="n">
        <v>38496</v>
      </c>
      <c r="K11" t="n">
        <v>0</v>
      </c>
      <c r="L11">
        <f>MIN(F11,J11)</f>
        <v/>
      </c>
      <c r="M11">
        <f>MIN(K11,MAX(0,F11-(J11-K11)))</f>
        <v/>
      </c>
    </row>
    <row r="12">
      <c r="A12" t="inlineStr">
        <is>
          <t>NORTHBAY-FAB</t>
        </is>
      </c>
      <c r="B12" t="inlineStr">
        <is>
          <t>2026-10-06</t>
        </is>
      </c>
      <c r="C12" t="n">
        <v>1</v>
      </c>
      <c r="D12" t="n">
        <v>10</v>
      </c>
      <c r="E12" t="n">
        <v>2</v>
      </c>
      <c r="F12" t="n">
        <v>21891</v>
      </c>
      <c r="G12" t="n">
        <v>21945</v>
      </c>
      <c r="H12" t="n">
        <v>19539</v>
      </c>
      <c r="I12" t="n">
        <v>0</v>
      </c>
      <c r="J12" t="n">
        <v>41484</v>
      </c>
      <c r="K12" t="n">
        <v>0</v>
      </c>
      <c r="L12">
        <f>MIN(F12,J12)</f>
        <v/>
      </c>
      <c r="M12">
        <f>MIN(K12,MAX(0,F12-(J12-K12)))</f>
        <v/>
      </c>
    </row>
    <row r="13">
      <c r="A13" t="inlineStr">
        <is>
          <t>NORTHBAY-FAB</t>
        </is>
      </c>
      <c r="B13" t="inlineStr">
        <is>
          <t>2026-10-06</t>
        </is>
      </c>
      <c r="C13" t="n">
        <v>1</v>
      </c>
      <c r="D13" t="n">
        <v>11</v>
      </c>
      <c r="E13" t="n">
        <v>2</v>
      </c>
      <c r="F13" t="n">
        <v>21891</v>
      </c>
      <c r="G13" t="n">
        <v>21962</v>
      </c>
      <c r="H13" t="n">
        <v>19487</v>
      </c>
      <c r="I13" t="n">
        <v>0</v>
      </c>
      <c r="J13" t="n">
        <v>41449</v>
      </c>
      <c r="K13" t="n">
        <v>0</v>
      </c>
      <c r="L13">
        <f>MIN(F13,J13)</f>
        <v/>
      </c>
      <c r="M13">
        <f>MIN(K13,MAX(0,F13-(J13-K13)))</f>
        <v/>
      </c>
    </row>
    <row r="14">
      <c r="A14" t="inlineStr">
        <is>
          <t>NORTHBAY-FAB</t>
        </is>
      </c>
      <c r="B14" t="inlineStr">
        <is>
          <t>2026-10-06</t>
        </is>
      </c>
      <c r="C14" t="n">
        <v>1</v>
      </c>
      <c r="D14" t="n">
        <v>12</v>
      </c>
      <c r="E14" t="n">
        <v>2</v>
      </c>
      <c r="F14" t="n">
        <v>21891</v>
      </c>
      <c r="G14" t="n">
        <v>22115</v>
      </c>
      <c r="H14" t="n">
        <v>19650</v>
      </c>
      <c r="I14" t="n">
        <v>0</v>
      </c>
      <c r="J14" t="n">
        <v>41765</v>
      </c>
      <c r="K14" t="n">
        <v>0</v>
      </c>
      <c r="L14">
        <f>MIN(F14,J14)</f>
        <v/>
      </c>
      <c r="M14">
        <f>MIN(K14,MAX(0,F14-(J14-K14)))</f>
        <v/>
      </c>
    </row>
    <row r="15">
      <c r="A15" t="inlineStr">
        <is>
          <t>NORTHBAY-FAB</t>
        </is>
      </c>
      <c r="B15" t="inlineStr">
        <is>
          <t>2026-10-06</t>
        </is>
      </c>
      <c r="C15" t="n">
        <v>1</v>
      </c>
      <c r="D15" t="n">
        <v>13</v>
      </c>
      <c r="E15" t="n">
        <v>2</v>
      </c>
      <c r="F15" t="n">
        <v>21891</v>
      </c>
      <c r="G15" t="n">
        <v>20400</v>
      </c>
      <c r="H15" t="n">
        <v>19684</v>
      </c>
      <c r="I15" t="n">
        <v>0</v>
      </c>
      <c r="J15" t="n">
        <v>40084</v>
      </c>
      <c r="K15" t="n">
        <v>0</v>
      </c>
      <c r="L15">
        <f>MIN(F15,J15)</f>
        <v/>
      </c>
      <c r="M15">
        <f>MIN(K15,MAX(0,F15-(J15-K15)))</f>
        <v/>
      </c>
    </row>
    <row r="16">
      <c r="A16" t="inlineStr">
        <is>
          <t>NORTHBAY-FAB</t>
        </is>
      </c>
      <c r="B16" t="inlineStr">
        <is>
          <t>2026-10-06</t>
        </is>
      </c>
      <c r="C16" t="n">
        <v>1</v>
      </c>
      <c r="D16" t="n">
        <v>14</v>
      </c>
      <c r="E16" t="n">
        <v>2</v>
      </c>
      <c r="F16" t="n">
        <v>21891</v>
      </c>
      <c r="G16" t="n">
        <v>16364</v>
      </c>
      <c r="H16" t="n">
        <v>19768</v>
      </c>
      <c r="I16" t="n">
        <v>0</v>
      </c>
      <c r="J16" t="n">
        <v>36132</v>
      </c>
      <c r="K16" t="n">
        <v>0</v>
      </c>
      <c r="L16">
        <f>MIN(F16,J16)</f>
        <v/>
      </c>
      <c r="M16">
        <f>MIN(K16,MAX(0,F16-(J16-K16)))</f>
        <v/>
      </c>
    </row>
    <row r="17">
      <c r="A17" t="inlineStr">
        <is>
          <t>NORTHBAY-FAB</t>
        </is>
      </c>
      <c r="B17" t="inlineStr">
        <is>
          <t>2026-10-06</t>
        </is>
      </c>
      <c r="C17" t="n">
        <v>1</v>
      </c>
      <c r="D17" t="n">
        <v>15</v>
      </c>
      <c r="E17" t="n">
        <v>2</v>
      </c>
      <c r="F17" t="n">
        <v>21891</v>
      </c>
      <c r="G17" t="n">
        <v>11344</v>
      </c>
      <c r="H17" t="n">
        <v>19774</v>
      </c>
      <c r="I17" t="n">
        <v>0</v>
      </c>
      <c r="J17" t="n">
        <v>31118</v>
      </c>
      <c r="K17" t="n">
        <v>0</v>
      </c>
      <c r="L17">
        <f>MIN(F17,J17)</f>
        <v/>
      </c>
      <c r="M17">
        <f>MIN(K17,MAX(0,F17-(J17-K17)))</f>
        <v/>
      </c>
    </row>
    <row r="18">
      <c r="A18" t="inlineStr">
        <is>
          <t>NORTHBAY-FAB</t>
        </is>
      </c>
      <c r="B18" t="inlineStr">
        <is>
          <t>2026-10-06</t>
        </is>
      </c>
      <c r="C18" t="n">
        <v>1</v>
      </c>
      <c r="D18" t="n">
        <v>16</v>
      </c>
      <c r="E18" t="n">
        <v>2</v>
      </c>
      <c r="F18" t="n">
        <v>21891</v>
      </c>
      <c r="G18" t="n">
        <v>5730</v>
      </c>
      <c r="H18" t="n">
        <v>19840</v>
      </c>
      <c r="I18" t="n">
        <v>0</v>
      </c>
      <c r="J18" t="n">
        <v>25570</v>
      </c>
      <c r="K18" t="n">
        <v>0</v>
      </c>
      <c r="L18">
        <f>MIN(F18,J18)</f>
        <v/>
      </c>
      <c r="M18">
        <f>MIN(K18,MAX(0,F18-(J18-K18)))</f>
        <v/>
      </c>
    </row>
    <row r="19">
      <c r="A19" t="inlineStr">
        <is>
          <t>NORTHBAY-FAB</t>
        </is>
      </c>
      <c r="B19" t="inlineStr">
        <is>
          <t>2026-10-06</t>
        </is>
      </c>
      <c r="C19" t="n">
        <v>1</v>
      </c>
      <c r="D19" t="n">
        <v>17</v>
      </c>
      <c r="E19" t="n">
        <v>2</v>
      </c>
      <c r="F19" t="n">
        <v>21891</v>
      </c>
      <c r="G19" t="n">
        <v>1234</v>
      </c>
      <c r="H19" t="n">
        <v>19802</v>
      </c>
      <c r="I19" t="n">
        <v>0</v>
      </c>
      <c r="J19" t="n">
        <v>21036</v>
      </c>
      <c r="K19" t="n">
        <v>0</v>
      </c>
      <c r="L19">
        <f>MIN(F19,J19)</f>
        <v/>
      </c>
      <c r="M19">
        <f>MIN(K19,MAX(0,F19-(J19-K19)))</f>
        <v/>
      </c>
    </row>
    <row r="20">
      <c r="A20" t="inlineStr">
        <is>
          <t>NORTHBAY-FAB</t>
        </is>
      </c>
      <c r="B20" t="inlineStr">
        <is>
          <t>2026-10-06</t>
        </is>
      </c>
      <c r="C20" t="n">
        <v>1</v>
      </c>
      <c r="D20" t="n">
        <v>18</v>
      </c>
      <c r="E20" t="n">
        <v>2</v>
      </c>
      <c r="F20" t="n">
        <v>21891</v>
      </c>
      <c r="G20" t="n">
        <v>0</v>
      </c>
      <c r="H20" t="n">
        <v>19711</v>
      </c>
      <c r="I20" t="n">
        <v>0</v>
      </c>
      <c r="J20" t="n">
        <v>19711</v>
      </c>
      <c r="K20" t="n">
        <v>0</v>
      </c>
      <c r="L20">
        <f>MIN(F20,J20)</f>
        <v/>
      </c>
      <c r="M20">
        <f>MIN(K20,MAX(0,F20-(J20-K20)))</f>
        <v/>
      </c>
    </row>
    <row r="21">
      <c r="A21" t="inlineStr">
        <is>
          <t>NORTHBAY-FAB</t>
        </is>
      </c>
      <c r="B21" t="inlineStr">
        <is>
          <t>2026-10-06</t>
        </is>
      </c>
      <c r="C21" t="n">
        <v>1</v>
      </c>
      <c r="D21" t="n">
        <v>19</v>
      </c>
      <c r="E21" t="n">
        <v>2</v>
      </c>
      <c r="F21" t="n">
        <v>21891</v>
      </c>
      <c r="G21" t="n">
        <v>0</v>
      </c>
      <c r="H21" t="n">
        <v>19651</v>
      </c>
      <c r="I21" t="n">
        <v>0</v>
      </c>
      <c r="J21" t="n">
        <v>19651</v>
      </c>
      <c r="K21" t="n">
        <v>0</v>
      </c>
      <c r="L21">
        <f>MIN(F21,J21)</f>
        <v/>
      </c>
      <c r="M21">
        <f>MIN(K21,MAX(0,F21-(J21-K21)))</f>
        <v/>
      </c>
    </row>
    <row r="22">
      <c r="A22" t="inlineStr">
        <is>
          <t>NORTHBAY-FAB</t>
        </is>
      </c>
      <c r="B22" t="inlineStr">
        <is>
          <t>2026-10-06</t>
        </is>
      </c>
      <c r="C22" t="n">
        <v>1</v>
      </c>
      <c r="D22" t="n">
        <v>20</v>
      </c>
      <c r="E22" t="n">
        <v>2</v>
      </c>
      <c r="F22" t="n">
        <v>21891</v>
      </c>
      <c r="G22" t="n">
        <v>0</v>
      </c>
      <c r="H22" t="n">
        <v>19676</v>
      </c>
      <c r="I22" t="n">
        <v>0</v>
      </c>
      <c r="J22" t="n">
        <v>19676</v>
      </c>
      <c r="K22" t="n">
        <v>0</v>
      </c>
      <c r="L22">
        <f>MIN(F22,J22)</f>
        <v/>
      </c>
      <c r="M22">
        <f>MIN(K22,MAX(0,F22-(J22-K22)))</f>
        <v/>
      </c>
    </row>
    <row r="23">
      <c r="A23" t="inlineStr">
        <is>
          <t>NORTHBAY-FAB</t>
        </is>
      </c>
      <c r="B23" t="inlineStr">
        <is>
          <t>2026-10-06</t>
        </is>
      </c>
      <c r="C23" t="n">
        <v>1</v>
      </c>
      <c r="D23" t="n">
        <v>21</v>
      </c>
      <c r="E23" t="n">
        <v>2</v>
      </c>
      <c r="F23" t="n">
        <v>21891</v>
      </c>
      <c r="G23" t="n">
        <v>0</v>
      </c>
      <c r="H23" t="n">
        <v>19574</v>
      </c>
      <c r="I23" t="n">
        <v>0</v>
      </c>
      <c r="J23" t="n">
        <v>19574</v>
      </c>
      <c r="K23" t="n">
        <v>0</v>
      </c>
      <c r="L23">
        <f>MIN(F23,J23)</f>
        <v/>
      </c>
      <c r="M23">
        <f>MIN(K23,MAX(0,F23-(J23-K23)))</f>
        <v/>
      </c>
    </row>
    <row r="24">
      <c r="A24" t="inlineStr">
        <is>
          <t>NORTHBAY-FAB</t>
        </is>
      </c>
      <c r="B24" t="inlineStr">
        <is>
          <t>2026-10-06</t>
        </is>
      </c>
      <c r="C24" t="n">
        <v>1</v>
      </c>
      <c r="D24" t="n">
        <v>22</v>
      </c>
      <c r="E24" t="n">
        <v>2</v>
      </c>
      <c r="F24" t="n">
        <v>21891</v>
      </c>
      <c r="G24" t="n">
        <v>0</v>
      </c>
      <c r="H24" t="n">
        <v>19635</v>
      </c>
      <c r="I24" t="n">
        <v>0</v>
      </c>
      <c r="J24" t="n">
        <v>19635</v>
      </c>
      <c r="K24" t="n">
        <v>0</v>
      </c>
      <c r="L24">
        <f>MIN(F24,J24)</f>
        <v/>
      </c>
      <c r="M24">
        <f>MIN(K24,MAX(0,F24-(J24-K24)))</f>
        <v/>
      </c>
    </row>
    <row r="25">
      <c r="A25" t="inlineStr">
        <is>
          <t>NORTHBAY-FAB</t>
        </is>
      </c>
      <c r="B25" t="inlineStr">
        <is>
          <t>2026-10-06</t>
        </is>
      </c>
      <c r="C25" t="n">
        <v>1</v>
      </c>
      <c r="D25" t="n">
        <v>23</v>
      </c>
      <c r="E25" t="n">
        <v>2</v>
      </c>
      <c r="F25" t="n">
        <v>21891</v>
      </c>
      <c r="G25" t="n">
        <v>0</v>
      </c>
      <c r="H25" t="n">
        <v>19534</v>
      </c>
      <c r="I25" t="n">
        <v>0</v>
      </c>
      <c r="J25" t="n">
        <v>19534</v>
      </c>
      <c r="K25" t="n">
        <v>0</v>
      </c>
      <c r="L25">
        <f>MIN(F25,J25)</f>
        <v/>
      </c>
      <c r="M25">
        <f>MIN(K25,MAX(0,F25-(J25-K25)))</f>
        <v/>
      </c>
    </row>
    <row r="26">
      <c r="A26" t="inlineStr">
        <is>
          <t>NORTHBAY-FAB</t>
        </is>
      </c>
      <c r="B26" t="inlineStr">
        <is>
          <t>2026-10-07</t>
        </is>
      </c>
      <c r="C26" t="n">
        <v>2</v>
      </c>
      <c r="D26" t="n">
        <v>0</v>
      </c>
      <c r="E26" t="n">
        <v>3</v>
      </c>
      <c r="F26" t="n">
        <v>21891</v>
      </c>
      <c r="G26" t="n">
        <v>0</v>
      </c>
      <c r="H26" t="n">
        <v>19261</v>
      </c>
      <c r="I26" t="n">
        <v>0</v>
      </c>
      <c r="J26" t="n">
        <v>19261</v>
      </c>
      <c r="K26" t="n">
        <v>0</v>
      </c>
      <c r="L26">
        <f>MIN(F26,J26)</f>
        <v/>
      </c>
      <c r="M26">
        <f>MIN(K26,MAX(0,F26-(J26-K26)))</f>
        <v/>
      </c>
    </row>
    <row r="27">
      <c r="A27" t="inlineStr">
        <is>
          <t>NORTHBAY-FAB</t>
        </is>
      </c>
      <c r="B27" t="inlineStr">
        <is>
          <t>2026-10-07</t>
        </is>
      </c>
      <c r="C27" t="n">
        <v>2</v>
      </c>
      <c r="D27" t="n">
        <v>1</v>
      </c>
      <c r="E27" t="n">
        <v>3</v>
      </c>
      <c r="F27" t="n">
        <v>21891</v>
      </c>
      <c r="G27" t="n">
        <v>0</v>
      </c>
      <c r="H27" t="n">
        <v>18958</v>
      </c>
      <c r="I27" t="n">
        <v>0</v>
      </c>
      <c r="J27" t="n">
        <v>18958</v>
      </c>
      <c r="K27" t="n">
        <v>0</v>
      </c>
      <c r="L27">
        <f>MIN(F27,J27)</f>
        <v/>
      </c>
      <c r="M27">
        <f>MIN(K27,MAX(0,F27-(J27-K27)))</f>
        <v/>
      </c>
    </row>
    <row r="28">
      <c r="A28" t="inlineStr">
        <is>
          <t>NORTHBAY-FAB</t>
        </is>
      </c>
      <c r="B28" t="inlineStr">
        <is>
          <t>2026-10-07</t>
        </is>
      </c>
      <c r="C28" t="n">
        <v>2</v>
      </c>
      <c r="D28" t="n">
        <v>2</v>
      </c>
      <c r="E28" t="n">
        <v>3</v>
      </c>
      <c r="F28" t="n">
        <v>21891</v>
      </c>
      <c r="G28" t="n">
        <v>0</v>
      </c>
      <c r="H28" t="n">
        <v>18874</v>
      </c>
      <c r="I28" t="n">
        <v>0</v>
      </c>
      <c r="J28" t="n">
        <v>18874</v>
      </c>
      <c r="K28" t="n">
        <v>0</v>
      </c>
      <c r="L28">
        <f>MIN(F28,J28)</f>
        <v/>
      </c>
      <c r="M28">
        <f>MIN(K28,MAX(0,F28-(J28-K28)))</f>
        <v/>
      </c>
    </row>
    <row r="29">
      <c r="A29" t="inlineStr">
        <is>
          <t>NORTHBAY-FAB</t>
        </is>
      </c>
      <c r="B29" t="inlineStr">
        <is>
          <t>2026-10-07</t>
        </is>
      </c>
      <c r="C29" t="n">
        <v>2</v>
      </c>
      <c r="D29" t="n">
        <v>3</v>
      </c>
      <c r="E29" t="n">
        <v>3</v>
      </c>
      <c r="F29" t="n">
        <v>21891</v>
      </c>
      <c r="G29" t="n">
        <v>0</v>
      </c>
      <c r="H29" t="n">
        <v>18803</v>
      </c>
      <c r="I29" t="n">
        <v>0</v>
      </c>
      <c r="J29" t="n">
        <v>18803</v>
      </c>
      <c r="K29" t="n">
        <v>0</v>
      </c>
      <c r="L29">
        <f>MIN(F29,J29)</f>
        <v/>
      </c>
      <c r="M29">
        <f>MIN(K29,MAX(0,F29-(J29-K29)))</f>
        <v/>
      </c>
    </row>
    <row r="30">
      <c r="A30" t="inlineStr">
        <is>
          <t>NORTHBAY-FAB</t>
        </is>
      </c>
      <c r="B30" t="inlineStr">
        <is>
          <t>2026-10-07</t>
        </is>
      </c>
      <c r="C30" t="n">
        <v>2</v>
      </c>
      <c r="D30" t="n">
        <v>4</v>
      </c>
      <c r="E30" t="n">
        <v>3</v>
      </c>
      <c r="F30" t="n">
        <v>21891</v>
      </c>
      <c r="G30" t="n">
        <v>0</v>
      </c>
      <c r="H30" t="n">
        <v>18613</v>
      </c>
      <c r="I30" t="n">
        <v>0</v>
      </c>
      <c r="J30" t="n">
        <v>18613</v>
      </c>
      <c r="K30" t="n">
        <v>0</v>
      </c>
      <c r="L30">
        <f>MIN(F30,J30)</f>
        <v/>
      </c>
      <c r="M30">
        <f>MIN(K30,MAX(0,F30-(J30-K30)))</f>
        <v/>
      </c>
    </row>
    <row r="31">
      <c r="A31" t="inlineStr">
        <is>
          <t>NORTHBAY-FAB</t>
        </is>
      </c>
      <c r="B31" t="inlineStr">
        <is>
          <t>2026-10-07</t>
        </is>
      </c>
      <c r="C31" t="n">
        <v>2</v>
      </c>
      <c r="D31" t="n">
        <v>5</v>
      </c>
      <c r="E31" t="n">
        <v>3</v>
      </c>
      <c r="F31" t="n">
        <v>21891</v>
      </c>
      <c r="G31" t="n">
        <v>34</v>
      </c>
      <c r="H31" t="n">
        <v>18319</v>
      </c>
      <c r="I31" t="n">
        <v>0</v>
      </c>
      <c r="J31" t="n">
        <v>18353</v>
      </c>
      <c r="K31" t="n">
        <v>0</v>
      </c>
      <c r="L31">
        <f>MIN(F31,J31)</f>
        <v/>
      </c>
      <c r="M31">
        <f>MIN(K31,MAX(0,F31-(J31-K31)))</f>
        <v/>
      </c>
    </row>
    <row r="32">
      <c r="A32" t="inlineStr">
        <is>
          <t>NORTHBAY-FAB</t>
        </is>
      </c>
      <c r="B32" t="inlineStr">
        <is>
          <t>2026-10-07</t>
        </is>
      </c>
      <c r="C32" t="n">
        <v>2</v>
      </c>
      <c r="D32" t="n">
        <v>6</v>
      </c>
      <c r="E32" t="n">
        <v>3</v>
      </c>
      <c r="F32" t="n">
        <v>21891</v>
      </c>
      <c r="G32" t="n">
        <v>664</v>
      </c>
      <c r="H32" t="n">
        <v>18389</v>
      </c>
      <c r="I32" t="n">
        <v>0</v>
      </c>
      <c r="J32" t="n">
        <v>19053</v>
      </c>
      <c r="K32" t="n">
        <v>0</v>
      </c>
      <c r="L32">
        <f>MIN(F32,J32)</f>
        <v/>
      </c>
      <c r="M32">
        <f>MIN(K32,MAX(0,F32-(J32-K32)))</f>
        <v/>
      </c>
    </row>
    <row r="33">
      <c r="A33" t="inlineStr">
        <is>
          <t>NORTHBAY-FAB</t>
        </is>
      </c>
      <c r="B33" t="inlineStr">
        <is>
          <t>2026-10-07</t>
        </is>
      </c>
      <c r="C33" t="n">
        <v>2</v>
      </c>
      <c r="D33" t="n">
        <v>7</v>
      </c>
      <c r="E33" t="n">
        <v>3</v>
      </c>
      <c r="F33" t="n">
        <v>21891</v>
      </c>
      <c r="G33" t="n">
        <v>5292</v>
      </c>
      <c r="H33" t="n">
        <v>18379</v>
      </c>
      <c r="I33" t="n">
        <v>0</v>
      </c>
      <c r="J33" t="n">
        <v>23671</v>
      </c>
      <c r="K33" t="n">
        <v>0</v>
      </c>
      <c r="L33">
        <f>MIN(F33,J33)</f>
        <v/>
      </c>
      <c r="M33">
        <f>MIN(K33,MAX(0,F33-(J33-K33)))</f>
        <v/>
      </c>
    </row>
    <row r="34">
      <c r="A34" t="inlineStr">
        <is>
          <t>NORTHBAY-FAB</t>
        </is>
      </c>
      <c r="B34" t="inlineStr">
        <is>
          <t>2026-10-07</t>
        </is>
      </c>
      <c r="C34" t="n">
        <v>2</v>
      </c>
      <c r="D34" t="n">
        <v>8</v>
      </c>
      <c r="E34" t="n">
        <v>3</v>
      </c>
      <c r="F34" t="n">
        <v>21891</v>
      </c>
      <c r="G34" t="n">
        <v>12387</v>
      </c>
      <c r="H34" t="n">
        <v>18187</v>
      </c>
      <c r="I34" t="n">
        <v>0</v>
      </c>
      <c r="J34" t="n">
        <v>30574</v>
      </c>
      <c r="K34" t="n">
        <v>0</v>
      </c>
      <c r="L34">
        <f>MIN(F34,J34)</f>
        <v/>
      </c>
      <c r="M34">
        <f>MIN(K34,MAX(0,F34-(J34-K34)))</f>
        <v/>
      </c>
    </row>
    <row r="35">
      <c r="A35" t="inlineStr">
        <is>
          <t>NORTHBAY-FAB</t>
        </is>
      </c>
      <c r="B35" t="inlineStr">
        <is>
          <t>2026-10-07</t>
        </is>
      </c>
      <c r="C35" t="n">
        <v>2</v>
      </c>
      <c r="D35" t="n">
        <v>9</v>
      </c>
      <c r="E35" t="n">
        <v>3</v>
      </c>
      <c r="F35" t="n">
        <v>21891</v>
      </c>
      <c r="G35" t="n">
        <v>18507</v>
      </c>
      <c r="H35" t="n">
        <v>18436</v>
      </c>
      <c r="I35" t="n">
        <v>0</v>
      </c>
      <c r="J35" t="n">
        <v>36943</v>
      </c>
      <c r="K35" t="n">
        <v>0</v>
      </c>
      <c r="L35">
        <f>MIN(F35,J35)</f>
        <v/>
      </c>
      <c r="M35">
        <f>MIN(K35,MAX(0,F35-(J35-K35)))</f>
        <v/>
      </c>
    </row>
    <row r="36">
      <c r="A36" t="inlineStr">
        <is>
          <t>NORTHBAY-FAB</t>
        </is>
      </c>
      <c r="B36" t="inlineStr">
        <is>
          <t>2026-10-07</t>
        </is>
      </c>
      <c r="C36" t="n">
        <v>2</v>
      </c>
      <c r="D36" t="n">
        <v>10</v>
      </c>
      <c r="E36" t="n">
        <v>3</v>
      </c>
      <c r="F36" t="n">
        <v>21891</v>
      </c>
      <c r="G36" t="n">
        <v>22195</v>
      </c>
      <c r="H36" t="n">
        <v>18039</v>
      </c>
      <c r="I36" t="n">
        <v>0</v>
      </c>
      <c r="J36" t="n">
        <v>40234</v>
      </c>
      <c r="K36" t="n">
        <v>0</v>
      </c>
      <c r="L36">
        <f>MIN(F36,J36)</f>
        <v/>
      </c>
      <c r="M36">
        <f>MIN(K36,MAX(0,F36-(J36-K36)))</f>
        <v/>
      </c>
    </row>
    <row r="37">
      <c r="A37" t="inlineStr">
        <is>
          <t>NORTHBAY-FAB</t>
        </is>
      </c>
      <c r="B37" t="inlineStr">
        <is>
          <t>2026-10-07</t>
        </is>
      </c>
      <c r="C37" t="n">
        <v>2</v>
      </c>
      <c r="D37" t="n">
        <v>11</v>
      </c>
      <c r="E37" t="n">
        <v>3</v>
      </c>
      <c r="F37" t="n">
        <v>21891</v>
      </c>
      <c r="G37" t="n">
        <v>24066</v>
      </c>
      <c r="H37" t="n">
        <v>17748</v>
      </c>
      <c r="I37" t="n">
        <v>0</v>
      </c>
      <c r="J37" t="n">
        <v>41814</v>
      </c>
      <c r="K37" t="n">
        <v>0</v>
      </c>
      <c r="L37">
        <f>MIN(F37,J37)</f>
        <v/>
      </c>
      <c r="M37">
        <f>MIN(K37,MAX(0,F37-(J37-K37)))</f>
        <v/>
      </c>
    </row>
    <row r="38">
      <c r="A38" t="inlineStr">
        <is>
          <t>NORTHBAY-FAB</t>
        </is>
      </c>
      <c r="B38" t="inlineStr">
        <is>
          <t>2026-10-07</t>
        </is>
      </c>
      <c r="C38" t="n">
        <v>2</v>
      </c>
      <c r="D38" t="n">
        <v>12</v>
      </c>
      <c r="E38" t="n">
        <v>3</v>
      </c>
      <c r="F38" t="n">
        <v>21891</v>
      </c>
      <c r="G38" t="n">
        <v>23347</v>
      </c>
      <c r="H38" t="n">
        <v>18010</v>
      </c>
      <c r="I38" t="n">
        <v>0</v>
      </c>
      <c r="J38" t="n">
        <v>41357</v>
      </c>
      <c r="K38" t="n">
        <v>0</v>
      </c>
      <c r="L38">
        <f>MIN(F38,J38)</f>
        <v/>
      </c>
      <c r="M38">
        <f>MIN(K38,MAX(0,F38-(J38-K38)))</f>
        <v/>
      </c>
    </row>
    <row r="39">
      <c r="A39" t="inlineStr">
        <is>
          <t>NORTHBAY-FAB</t>
        </is>
      </c>
      <c r="B39" t="inlineStr">
        <is>
          <t>2026-10-07</t>
        </is>
      </c>
      <c r="C39" t="n">
        <v>2</v>
      </c>
      <c r="D39" t="n">
        <v>13</v>
      </c>
      <c r="E39" t="n">
        <v>3</v>
      </c>
      <c r="F39" t="n">
        <v>21891</v>
      </c>
      <c r="G39" t="n">
        <v>21788</v>
      </c>
      <c r="H39" t="n">
        <v>18072</v>
      </c>
      <c r="I39" t="n">
        <v>0</v>
      </c>
      <c r="J39" t="n">
        <v>39860</v>
      </c>
      <c r="K39" t="n">
        <v>0</v>
      </c>
      <c r="L39">
        <f>MIN(F39,J39)</f>
        <v/>
      </c>
      <c r="M39">
        <f>MIN(K39,MAX(0,F39-(J39-K39)))</f>
        <v/>
      </c>
    </row>
    <row r="40">
      <c r="A40" t="inlineStr">
        <is>
          <t>NORTHBAY-FAB</t>
        </is>
      </c>
      <c r="B40" t="inlineStr">
        <is>
          <t>2026-10-07</t>
        </is>
      </c>
      <c r="C40" t="n">
        <v>2</v>
      </c>
      <c r="D40" t="n">
        <v>14</v>
      </c>
      <c r="E40" t="n">
        <v>3</v>
      </c>
      <c r="F40" t="n">
        <v>21891</v>
      </c>
      <c r="G40" t="n">
        <v>18848</v>
      </c>
      <c r="H40" t="n">
        <v>18398</v>
      </c>
      <c r="I40" t="n">
        <v>0</v>
      </c>
      <c r="J40" t="n">
        <v>37246</v>
      </c>
      <c r="K40" t="n">
        <v>0</v>
      </c>
      <c r="L40">
        <f>MIN(F40,J40)</f>
        <v/>
      </c>
      <c r="M40">
        <f>MIN(K40,MAX(0,F40-(J40-K40)))</f>
        <v/>
      </c>
    </row>
    <row r="41">
      <c r="A41" t="inlineStr">
        <is>
          <t>NORTHBAY-FAB</t>
        </is>
      </c>
      <c r="B41" t="inlineStr">
        <is>
          <t>2026-10-07</t>
        </is>
      </c>
      <c r="C41" t="n">
        <v>2</v>
      </c>
      <c r="D41" t="n">
        <v>15</v>
      </c>
      <c r="E41" t="n">
        <v>3</v>
      </c>
      <c r="F41" t="n">
        <v>21891</v>
      </c>
      <c r="G41" t="n">
        <v>13329</v>
      </c>
      <c r="H41" t="n">
        <v>19214</v>
      </c>
      <c r="I41" t="n">
        <v>0</v>
      </c>
      <c r="J41" t="n">
        <v>32543</v>
      </c>
      <c r="K41" t="n">
        <v>0</v>
      </c>
      <c r="L41">
        <f>MIN(F41,J41)</f>
        <v/>
      </c>
      <c r="M41">
        <f>MIN(K41,MAX(0,F41-(J41-K41)))</f>
        <v/>
      </c>
    </row>
    <row r="42">
      <c r="A42" t="inlineStr">
        <is>
          <t>NORTHBAY-FAB</t>
        </is>
      </c>
      <c r="B42" t="inlineStr">
        <is>
          <t>2026-10-07</t>
        </is>
      </c>
      <c r="C42" t="n">
        <v>2</v>
      </c>
      <c r="D42" t="n">
        <v>16</v>
      </c>
      <c r="E42" t="n">
        <v>3</v>
      </c>
      <c r="F42" t="n">
        <v>21891</v>
      </c>
      <c r="G42" t="n">
        <v>6535</v>
      </c>
      <c r="H42" t="n">
        <v>19122</v>
      </c>
      <c r="I42" t="n">
        <v>0</v>
      </c>
      <c r="J42" t="n">
        <v>25657</v>
      </c>
      <c r="K42" t="n">
        <v>0</v>
      </c>
      <c r="L42">
        <f>MIN(F42,J42)</f>
        <v/>
      </c>
      <c r="M42">
        <f>MIN(K42,MAX(0,F42-(J42-K42)))</f>
        <v/>
      </c>
    </row>
    <row r="43">
      <c r="A43" t="inlineStr">
        <is>
          <t>NORTHBAY-FAB</t>
        </is>
      </c>
      <c r="B43" t="inlineStr">
        <is>
          <t>2026-10-07</t>
        </is>
      </c>
      <c r="C43" t="n">
        <v>2</v>
      </c>
      <c r="D43" t="n">
        <v>17</v>
      </c>
      <c r="E43" t="n">
        <v>3</v>
      </c>
      <c r="F43" t="n">
        <v>21891</v>
      </c>
      <c r="G43" t="n">
        <v>1586</v>
      </c>
      <c r="H43" t="n">
        <v>19134</v>
      </c>
      <c r="I43" t="n">
        <v>0</v>
      </c>
      <c r="J43" t="n">
        <v>20720</v>
      </c>
      <c r="K43" t="n">
        <v>0</v>
      </c>
      <c r="L43">
        <f>MIN(F43,J43)</f>
        <v/>
      </c>
      <c r="M43">
        <f>MIN(K43,MAX(0,F43-(J43-K43)))</f>
        <v/>
      </c>
    </row>
    <row r="44">
      <c r="A44" t="inlineStr">
        <is>
          <t>NORTHBAY-FAB</t>
        </is>
      </c>
      <c r="B44" t="inlineStr">
        <is>
          <t>2026-10-07</t>
        </is>
      </c>
      <c r="C44" t="n">
        <v>2</v>
      </c>
      <c r="D44" t="n">
        <v>18</v>
      </c>
      <c r="E44" t="n">
        <v>3</v>
      </c>
      <c r="F44" t="n">
        <v>21891</v>
      </c>
      <c r="G44" t="n">
        <v>0</v>
      </c>
      <c r="H44" t="n">
        <v>19156</v>
      </c>
      <c r="I44" t="n">
        <v>0</v>
      </c>
      <c r="J44" t="n">
        <v>19156</v>
      </c>
      <c r="K44" t="n">
        <v>0</v>
      </c>
      <c r="L44">
        <f>MIN(F44,J44)</f>
        <v/>
      </c>
      <c r="M44">
        <f>MIN(K44,MAX(0,F44-(J44-K44)))</f>
        <v/>
      </c>
    </row>
    <row r="45">
      <c r="A45" t="inlineStr">
        <is>
          <t>NORTHBAY-FAB</t>
        </is>
      </c>
      <c r="B45" t="inlineStr">
        <is>
          <t>2026-10-07</t>
        </is>
      </c>
      <c r="C45" t="n">
        <v>2</v>
      </c>
      <c r="D45" t="n">
        <v>19</v>
      </c>
      <c r="E45" t="n">
        <v>3</v>
      </c>
      <c r="F45" t="n">
        <v>21891</v>
      </c>
      <c r="G45" t="n">
        <v>0</v>
      </c>
      <c r="H45" t="n">
        <v>19228</v>
      </c>
      <c r="I45" t="n">
        <v>0</v>
      </c>
      <c r="J45" t="n">
        <v>19228</v>
      </c>
      <c r="K45" t="n">
        <v>0</v>
      </c>
      <c r="L45">
        <f>MIN(F45,J45)</f>
        <v/>
      </c>
      <c r="M45">
        <f>MIN(K45,MAX(0,F45-(J45-K45)))</f>
        <v/>
      </c>
    </row>
    <row r="46">
      <c r="A46" t="inlineStr">
        <is>
          <t>NORTHBAY-FAB</t>
        </is>
      </c>
      <c r="B46" t="inlineStr">
        <is>
          <t>2026-10-07</t>
        </is>
      </c>
      <c r="C46" t="n">
        <v>2</v>
      </c>
      <c r="D46" t="n">
        <v>20</v>
      </c>
      <c r="E46" t="n">
        <v>3</v>
      </c>
      <c r="F46" t="n">
        <v>21891</v>
      </c>
      <c r="G46" t="n">
        <v>0</v>
      </c>
      <c r="H46" t="n">
        <v>19068</v>
      </c>
      <c r="I46" t="n">
        <v>0</v>
      </c>
      <c r="J46" t="n">
        <v>19068</v>
      </c>
      <c r="K46" t="n">
        <v>0</v>
      </c>
      <c r="L46">
        <f>MIN(F46,J46)</f>
        <v/>
      </c>
      <c r="M46">
        <f>MIN(K46,MAX(0,F46-(J46-K46)))</f>
        <v/>
      </c>
    </row>
    <row r="47">
      <c r="A47" t="inlineStr">
        <is>
          <t>NORTHBAY-FAB</t>
        </is>
      </c>
      <c r="B47" t="inlineStr">
        <is>
          <t>2026-10-07</t>
        </is>
      </c>
      <c r="C47" t="n">
        <v>2</v>
      </c>
      <c r="D47" t="n">
        <v>21</v>
      </c>
      <c r="E47" t="n">
        <v>3</v>
      </c>
      <c r="F47" t="n">
        <v>21891</v>
      </c>
      <c r="G47" t="n">
        <v>0</v>
      </c>
      <c r="H47" t="n">
        <v>18750</v>
      </c>
      <c r="I47" t="n">
        <v>0</v>
      </c>
      <c r="J47" t="n">
        <v>18750</v>
      </c>
      <c r="K47" t="n">
        <v>0</v>
      </c>
      <c r="L47">
        <f>MIN(F47,J47)</f>
        <v/>
      </c>
      <c r="M47">
        <f>MIN(K47,MAX(0,F47-(J47-K47)))</f>
        <v/>
      </c>
    </row>
    <row r="48">
      <c r="A48" t="inlineStr">
        <is>
          <t>NORTHBAY-FAB</t>
        </is>
      </c>
      <c r="B48" t="inlineStr">
        <is>
          <t>2026-10-07</t>
        </is>
      </c>
      <c r="C48" t="n">
        <v>2</v>
      </c>
      <c r="D48" t="n">
        <v>22</v>
      </c>
      <c r="E48" t="n">
        <v>3</v>
      </c>
      <c r="F48" t="n">
        <v>21891</v>
      </c>
      <c r="G48" t="n">
        <v>0</v>
      </c>
      <c r="H48" t="n">
        <v>18595</v>
      </c>
      <c r="I48" t="n">
        <v>0</v>
      </c>
      <c r="J48" t="n">
        <v>18595</v>
      </c>
      <c r="K48" t="n">
        <v>0</v>
      </c>
      <c r="L48">
        <f>MIN(F48,J48)</f>
        <v/>
      </c>
      <c r="M48">
        <f>MIN(K48,MAX(0,F48-(J48-K48)))</f>
        <v/>
      </c>
    </row>
    <row r="49">
      <c r="A49" t="inlineStr">
        <is>
          <t>NORTHBAY-FAB</t>
        </is>
      </c>
      <c r="B49" t="inlineStr">
        <is>
          <t>2026-10-07</t>
        </is>
      </c>
      <c r="C49" t="n">
        <v>2</v>
      </c>
      <c r="D49" t="n">
        <v>23</v>
      </c>
      <c r="E49" t="n">
        <v>3</v>
      </c>
      <c r="F49" t="n">
        <v>21891</v>
      </c>
      <c r="G49" t="n">
        <v>0</v>
      </c>
      <c r="H49" t="n">
        <v>18095</v>
      </c>
      <c r="I49" t="n">
        <v>0</v>
      </c>
      <c r="J49" t="n">
        <v>18095</v>
      </c>
      <c r="K49" t="n">
        <v>0</v>
      </c>
      <c r="L49">
        <f>MIN(F49,J49)</f>
        <v/>
      </c>
      <c r="M49">
        <f>MIN(K49,MAX(0,F49-(J49-K49)))</f>
        <v/>
      </c>
    </row>
    <row r="50">
      <c r="A50" t="inlineStr">
        <is>
          <t>NORTHBAY-FAB</t>
        </is>
      </c>
      <c r="B50" t="inlineStr">
        <is>
          <t>2026-10-08</t>
        </is>
      </c>
      <c r="C50" t="n">
        <v>3</v>
      </c>
      <c r="D50" t="n">
        <v>0</v>
      </c>
      <c r="E50" t="n">
        <v>4</v>
      </c>
      <c r="F50" t="n">
        <v>21891</v>
      </c>
      <c r="G50" t="n">
        <v>0</v>
      </c>
      <c r="H50" t="n">
        <v>16994</v>
      </c>
      <c r="I50" t="n">
        <v>0</v>
      </c>
      <c r="J50" t="n">
        <v>16994</v>
      </c>
      <c r="K50" t="n">
        <v>0</v>
      </c>
      <c r="L50">
        <f>MIN(F50,J50)</f>
        <v/>
      </c>
      <c r="M50">
        <f>MIN(K50,MAX(0,F50-(J50-K50)))</f>
        <v/>
      </c>
    </row>
    <row r="51">
      <c r="A51" t="inlineStr">
        <is>
          <t>NORTHBAY-FAB</t>
        </is>
      </c>
      <c r="B51" t="inlineStr">
        <is>
          <t>2026-10-08</t>
        </is>
      </c>
      <c r="C51" t="n">
        <v>3</v>
      </c>
      <c r="D51" t="n">
        <v>1</v>
      </c>
      <c r="E51" t="n">
        <v>4</v>
      </c>
      <c r="F51" t="n">
        <v>21891</v>
      </c>
      <c r="G51" t="n">
        <v>0</v>
      </c>
      <c r="H51" t="n">
        <v>15870</v>
      </c>
      <c r="I51" t="n">
        <v>0</v>
      </c>
      <c r="J51" t="n">
        <v>15870</v>
      </c>
      <c r="K51" t="n">
        <v>0</v>
      </c>
      <c r="L51">
        <f>MIN(F51,J51)</f>
        <v/>
      </c>
      <c r="M51">
        <f>MIN(K51,MAX(0,F51-(J51-K51)))</f>
        <v/>
      </c>
    </row>
    <row r="52">
      <c r="A52" t="inlineStr">
        <is>
          <t>NORTHBAY-FAB</t>
        </is>
      </c>
      <c r="B52" t="inlineStr">
        <is>
          <t>2026-10-08</t>
        </is>
      </c>
      <c r="C52" t="n">
        <v>3</v>
      </c>
      <c r="D52" t="n">
        <v>2</v>
      </c>
      <c r="E52" t="n">
        <v>4</v>
      </c>
      <c r="F52" t="n">
        <v>21891</v>
      </c>
      <c r="G52" t="n">
        <v>0</v>
      </c>
      <c r="H52" t="n">
        <v>15060</v>
      </c>
      <c r="I52" t="n">
        <v>0</v>
      </c>
      <c r="J52" t="n">
        <v>15060</v>
      </c>
      <c r="K52" t="n">
        <v>0</v>
      </c>
      <c r="L52">
        <f>MIN(F52,J52)</f>
        <v/>
      </c>
      <c r="M52">
        <f>MIN(K52,MAX(0,F52-(J52-K52)))</f>
        <v/>
      </c>
    </row>
    <row r="53">
      <c r="A53" t="inlineStr">
        <is>
          <t>NORTHBAY-FAB</t>
        </is>
      </c>
      <c r="B53" t="inlineStr">
        <is>
          <t>2026-10-08</t>
        </is>
      </c>
      <c r="C53" t="n">
        <v>3</v>
      </c>
      <c r="D53" t="n">
        <v>3</v>
      </c>
      <c r="E53" t="n">
        <v>4</v>
      </c>
      <c r="F53" t="n">
        <v>21891</v>
      </c>
      <c r="G53" t="n">
        <v>0</v>
      </c>
      <c r="H53" t="n">
        <v>13943</v>
      </c>
      <c r="I53" t="n">
        <v>0</v>
      </c>
      <c r="J53" t="n">
        <v>13943</v>
      </c>
      <c r="K53" t="n">
        <v>0</v>
      </c>
      <c r="L53">
        <f>MIN(F53,J53)</f>
        <v/>
      </c>
      <c r="M53">
        <f>MIN(K53,MAX(0,F53-(J53-K53)))</f>
        <v/>
      </c>
    </row>
    <row r="54">
      <c r="A54" t="inlineStr">
        <is>
          <t>NORTHBAY-FAB</t>
        </is>
      </c>
      <c r="B54" t="inlineStr">
        <is>
          <t>2026-10-08</t>
        </is>
      </c>
      <c r="C54" t="n">
        <v>3</v>
      </c>
      <c r="D54" t="n">
        <v>4</v>
      </c>
      <c r="E54" t="n">
        <v>4</v>
      </c>
      <c r="F54" t="n">
        <v>21891</v>
      </c>
      <c r="G54" t="n">
        <v>0</v>
      </c>
      <c r="H54" t="n">
        <v>12589</v>
      </c>
      <c r="I54" t="n">
        <v>0</v>
      </c>
      <c r="J54" t="n">
        <v>12589</v>
      </c>
      <c r="K54" t="n">
        <v>0</v>
      </c>
      <c r="L54">
        <f>MIN(F54,J54)</f>
        <v/>
      </c>
      <c r="M54">
        <f>MIN(K54,MAX(0,F54-(J54-K54)))</f>
        <v/>
      </c>
    </row>
    <row r="55">
      <c r="A55" t="inlineStr">
        <is>
          <t>NORTHBAY-FAB</t>
        </is>
      </c>
      <c r="B55" t="inlineStr">
        <is>
          <t>2026-10-08</t>
        </is>
      </c>
      <c r="C55" t="n">
        <v>3</v>
      </c>
      <c r="D55" t="n">
        <v>5</v>
      </c>
      <c r="E55" t="n">
        <v>4</v>
      </c>
      <c r="F55" t="n">
        <v>21891</v>
      </c>
      <c r="G55" t="n">
        <v>15</v>
      </c>
      <c r="H55" t="n">
        <v>11661</v>
      </c>
      <c r="I55" t="n">
        <v>0</v>
      </c>
      <c r="J55" t="n">
        <v>11676</v>
      </c>
      <c r="K55" t="n">
        <v>0</v>
      </c>
      <c r="L55">
        <f>MIN(F55,J55)</f>
        <v/>
      </c>
      <c r="M55">
        <f>MIN(K55,MAX(0,F55-(J55-K55)))</f>
        <v/>
      </c>
    </row>
    <row r="56">
      <c r="A56" t="inlineStr">
        <is>
          <t>NORTHBAY-FAB</t>
        </is>
      </c>
      <c r="B56" t="inlineStr">
        <is>
          <t>2026-10-08</t>
        </is>
      </c>
      <c r="C56" t="n">
        <v>3</v>
      </c>
      <c r="D56" t="n">
        <v>6</v>
      </c>
      <c r="E56" t="n">
        <v>4</v>
      </c>
      <c r="F56" t="n">
        <v>21891</v>
      </c>
      <c r="G56" t="n">
        <v>654</v>
      </c>
      <c r="H56" t="n">
        <v>10897</v>
      </c>
      <c r="I56" t="n">
        <v>0</v>
      </c>
      <c r="J56" t="n">
        <v>11551</v>
      </c>
      <c r="K56" t="n">
        <v>0</v>
      </c>
      <c r="L56">
        <f>MIN(F56,J56)</f>
        <v/>
      </c>
      <c r="M56">
        <f>MIN(K56,MAX(0,F56-(J56-K56)))</f>
        <v/>
      </c>
    </row>
    <row r="57">
      <c r="A57" t="inlineStr">
        <is>
          <t>NORTHBAY-FAB</t>
        </is>
      </c>
      <c r="B57" t="inlineStr">
        <is>
          <t>2026-10-08</t>
        </is>
      </c>
      <c r="C57" t="n">
        <v>3</v>
      </c>
      <c r="D57" t="n">
        <v>7</v>
      </c>
      <c r="E57" t="n">
        <v>4</v>
      </c>
      <c r="F57" t="n">
        <v>21891</v>
      </c>
      <c r="G57" t="n">
        <v>5043</v>
      </c>
      <c r="H57" t="n">
        <v>10541</v>
      </c>
      <c r="I57" t="n">
        <v>0</v>
      </c>
      <c r="J57" t="n">
        <v>15584</v>
      </c>
      <c r="K57" t="n">
        <v>0</v>
      </c>
      <c r="L57">
        <f>MIN(F57,J57)</f>
        <v/>
      </c>
      <c r="M57">
        <f>MIN(K57,MAX(0,F57-(J57-K57)))</f>
        <v/>
      </c>
    </row>
    <row r="58">
      <c r="A58" t="inlineStr">
        <is>
          <t>NORTHBAY-FAB</t>
        </is>
      </c>
      <c r="B58" t="inlineStr">
        <is>
          <t>2026-10-08</t>
        </is>
      </c>
      <c r="C58" t="n">
        <v>3</v>
      </c>
      <c r="D58" t="n">
        <v>8</v>
      </c>
      <c r="E58" t="n">
        <v>4</v>
      </c>
      <c r="F58" t="n">
        <v>21891</v>
      </c>
      <c r="G58" t="n">
        <v>11371</v>
      </c>
      <c r="H58" t="n">
        <v>10499</v>
      </c>
      <c r="I58" t="n">
        <v>0</v>
      </c>
      <c r="J58" t="n">
        <v>21870</v>
      </c>
      <c r="K58" t="n">
        <v>0</v>
      </c>
      <c r="L58">
        <f>MIN(F58,J58)</f>
        <v/>
      </c>
      <c r="M58">
        <f>MIN(K58,MAX(0,F58-(J58-K58)))</f>
        <v/>
      </c>
    </row>
    <row r="59">
      <c r="A59" t="inlineStr">
        <is>
          <t>NORTHBAY-FAB</t>
        </is>
      </c>
      <c r="B59" t="inlineStr">
        <is>
          <t>2026-10-08</t>
        </is>
      </c>
      <c r="C59" t="n">
        <v>3</v>
      </c>
      <c r="D59" t="n">
        <v>9</v>
      </c>
      <c r="E59" t="n">
        <v>4</v>
      </c>
      <c r="F59" t="n">
        <v>21891</v>
      </c>
      <c r="G59" t="n">
        <v>17202</v>
      </c>
      <c r="H59" t="n">
        <v>10292</v>
      </c>
      <c r="I59" t="n">
        <v>0</v>
      </c>
      <c r="J59" t="n">
        <v>27494</v>
      </c>
      <c r="K59" t="n">
        <v>0</v>
      </c>
      <c r="L59">
        <f>MIN(F59,J59)</f>
        <v/>
      </c>
      <c r="M59">
        <f>MIN(K59,MAX(0,F59-(J59-K59)))</f>
        <v/>
      </c>
    </row>
    <row r="60">
      <c r="A60" t="inlineStr">
        <is>
          <t>NORTHBAY-FAB</t>
        </is>
      </c>
      <c r="B60" t="inlineStr">
        <is>
          <t>2026-10-08</t>
        </is>
      </c>
      <c r="C60" t="n">
        <v>3</v>
      </c>
      <c r="D60" t="n">
        <v>10</v>
      </c>
      <c r="E60" t="n">
        <v>4</v>
      </c>
      <c r="F60" t="n">
        <v>21891</v>
      </c>
      <c r="G60" t="n">
        <v>20885</v>
      </c>
      <c r="H60" t="n">
        <v>10415</v>
      </c>
      <c r="I60" t="n">
        <v>0</v>
      </c>
      <c r="J60" t="n">
        <v>31300</v>
      </c>
      <c r="K60" t="n">
        <v>0</v>
      </c>
      <c r="L60">
        <f>MIN(F60,J60)</f>
        <v/>
      </c>
      <c r="M60">
        <f>MIN(K60,MAX(0,F60-(J60-K60)))</f>
        <v/>
      </c>
    </row>
    <row r="61">
      <c r="A61" t="inlineStr">
        <is>
          <t>NORTHBAY-FAB</t>
        </is>
      </c>
      <c r="B61" t="inlineStr">
        <is>
          <t>2026-10-08</t>
        </is>
      </c>
      <c r="C61" t="n">
        <v>3</v>
      </c>
      <c r="D61" t="n">
        <v>11</v>
      </c>
      <c r="E61" t="n">
        <v>4</v>
      </c>
      <c r="F61" t="n">
        <v>21891</v>
      </c>
      <c r="G61" t="n">
        <v>22477</v>
      </c>
      <c r="H61" t="n">
        <v>10978</v>
      </c>
      <c r="I61" t="n">
        <v>0</v>
      </c>
      <c r="J61" t="n">
        <v>33455</v>
      </c>
      <c r="K61" t="n">
        <v>0</v>
      </c>
      <c r="L61">
        <f>MIN(F61,J61)</f>
        <v/>
      </c>
      <c r="M61">
        <f>MIN(K61,MAX(0,F61-(J61-K61)))</f>
        <v/>
      </c>
    </row>
    <row r="62">
      <c r="A62" t="inlineStr">
        <is>
          <t>NORTHBAY-FAB</t>
        </is>
      </c>
      <c r="B62" t="inlineStr">
        <is>
          <t>2026-10-08</t>
        </is>
      </c>
      <c r="C62" t="n">
        <v>3</v>
      </c>
      <c r="D62" t="n">
        <v>12</v>
      </c>
      <c r="E62" t="n">
        <v>4</v>
      </c>
      <c r="F62" t="n">
        <v>21891</v>
      </c>
      <c r="G62" t="n">
        <v>22928</v>
      </c>
      <c r="H62" t="n">
        <v>11630</v>
      </c>
      <c r="I62" t="n">
        <v>0</v>
      </c>
      <c r="J62" t="n">
        <v>34558</v>
      </c>
      <c r="K62" t="n">
        <v>0</v>
      </c>
      <c r="L62">
        <f>MIN(F62,J62)</f>
        <v/>
      </c>
      <c r="M62">
        <f>MIN(K62,MAX(0,F62-(J62-K62)))</f>
        <v/>
      </c>
    </row>
    <row r="63">
      <c r="A63" t="inlineStr">
        <is>
          <t>NORTHBAY-FAB</t>
        </is>
      </c>
      <c r="B63" t="inlineStr">
        <is>
          <t>2026-10-08</t>
        </is>
      </c>
      <c r="C63" t="n">
        <v>3</v>
      </c>
      <c r="D63" t="n">
        <v>13</v>
      </c>
      <c r="E63" t="n">
        <v>4</v>
      </c>
      <c r="F63" t="n">
        <v>21891</v>
      </c>
      <c r="G63" t="n">
        <v>20747</v>
      </c>
      <c r="H63" t="n">
        <v>12589</v>
      </c>
      <c r="I63" t="n">
        <v>0</v>
      </c>
      <c r="J63" t="n">
        <v>33336</v>
      </c>
      <c r="K63" t="n">
        <v>0</v>
      </c>
      <c r="L63">
        <f>MIN(F63,J63)</f>
        <v/>
      </c>
      <c r="M63">
        <f>MIN(K63,MAX(0,F63-(J63-K63)))</f>
        <v/>
      </c>
    </row>
    <row r="64">
      <c r="A64" t="inlineStr">
        <is>
          <t>NORTHBAY-FAB</t>
        </is>
      </c>
      <c r="B64" t="inlineStr">
        <is>
          <t>2026-10-08</t>
        </is>
      </c>
      <c r="C64" t="n">
        <v>3</v>
      </c>
      <c r="D64" t="n">
        <v>14</v>
      </c>
      <c r="E64" t="n">
        <v>4</v>
      </c>
      <c r="F64" t="n">
        <v>21891</v>
      </c>
      <c r="G64" t="n">
        <v>16708</v>
      </c>
      <c r="H64" t="n">
        <v>14294</v>
      </c>
      <c r="I64" t="n">
        <v>0</v>
      </c>
      <c r="J64" t="n">
        <v>31002</v>
      </c>
      <c r="K64" t="n">
        <v>0</v>
      </c>
      <c r="L64">
        <f>MIN(F64,J64)</f>
        <v/>
      </c>
      <c r="M64">
        <f>MIN(K64,MAX(0,F64-(J64-K64)))</f>
        <v/>
      </c>
    </row>
    <row r="65">
      <c r="A65" t="inlineStr">
        <is>
          <t>NORTHBAY-FAB</t>
        </is>
      </c>
      <c r="B65" t="inlineStr">
        <is>
          <t>2026-10-08</t>
        </is>
      </c>
      <c r="C65" t="n">
        <v>3</v>
      </c>
      <c r="D65" t="n">
        <v>15</v>
      </c>
      <c r="E65" t="n">
        <v>4</v>
      </c>
      <c r="F65" t="n">
        <v>21891</v>
      </c>
      <c r="G65" t="n">
        <v>11657</v>
      </c>
      <c r="H65" t="n">
        <v>15983</v>
      </c>
      <c r="I65" t="n">
        <v>0</v>
      </c>
      <c r="J65" t="n">
        <v>27640</v>
      </c>
      <c r="K65" t="n">
        <v>0</v>
      </c>
      <c r="L65">
        <f>MIN(F65,J65)</f>
        <v/>
      </c>
      <c r="M65">
        <f>MIN(K65,MAX(0,F65-(J65-K65)))</f>
        <v/>
      </c>
    </row>
    <row r="66">
      <c r="A66" t="inlineStr">
        <is>
          <t>NORTHBAY-FAB</t>
        </is>
      </c>
      <c r="B66" t="inlineStr">
        <is>
          <t>2026-10-08</t>
        </is>
      </c>
      <c r="C66" t="n">
        <v>3</v>
      </c>
      <c r="D66" t="n">
        <v>16</v>
      </c>
      <c r="E66" t="n">
        <v>4</v>
      </c>
      <c r="F66" t="n">
        <v>21891</v>
      </c>
      <c r="G66" t="n">
        <v>5857</v>
      </c>
      <c r="H66" t="n">
        <v>17669</v>
      </c>
      <c r="I66" t="n">
        <v>0</v>
      </c>
      <c r="J66" t="n">
        <v>23526</v>
      </c>
      <c r="K66" t="n">
        <v>0</v>
      </c>
      <c r="L66">
        <f>MIN(F66,J66)</f>
        <v/>
      </c>
      <c r="M66">
        <f>MIN(K66,MAX(0,F66-(J66-K66)))</f>
        <v/>
      </c>
    </row>
    <row r="67">
      <c r="A67" t="inlineStr">
        <is>
          <t>NORTHBAY-FAB</t>
        </is>
      </c>
      <c r="B67" t="inlineStr">
        <is>
          <t>2026-10-08</t>
        </is>
      </c>
      <c r="C67" t="n">
        <v>3</v>
      </c>
      <c r="D67" t="n">
        <v>17</v>
      </c>
      <c r="E67" t="n">
        <v>4</v>
      </c>
      <c r="F67" t="n">
        <v>21891</v>
      </c>
      <c r="G67" t="n">
        <v>1399</v>
      </c>
      <c r="H67" t="n">
        <v>18517</v>
      </c>
      <c r="I67" t="n">
        <v>0</v>
      </c>
      <c r="J67" t="n">
        <v>19916</v>
      </c>
      <c r="K67" t="n">
        <v>0</v>
      </c>
      <c r="L67">
        <f>MIN(F67,J67)</f>
        <v/>
      </c>
      <c r="M67">
        <f>MIN(K67,MAX(0,F67-(J67-K67)))</f>
        <v/>
      </c>
    </row>
    <row r="68">
      <c r="A68" t="inlineStr">
        <is>
          <t>NORTHBAY-FAB</t>
        </is>
      </c>
      <c r="B68" t="inlineStr">
        <is>
          <t>2026-10-08</t>
        </is>
      </c>
      <c r="C68" t="n">
        <v>3</v>
      </c>
      <c r="D68" t="n">
        <v>18</v>
      </c>
      <c r="E68" t="n">
        <v>4</v>
      </c>
      <c r="F68" t="n">
        <v>21891</v>
      </c>
      <c r="G68" t="n">
        <v>0</v>
      </c>
      <c r="H68" t="n">
        <v>18434</v>
      </c>
      <c r="I68" t="n">
        <v>0</v>
      </c>
      <c r="J68" t="n">
        <v>18434</v>
      </c>
      <c r="K68" t="n">
        <v>0</v>
      </c>
      <c r="L68">
        <f>MIN(F68,J68)</f>
        <v/>
      </c>
      <c r="M68">
        <f>MIN(K68,MAX(0,F68-(J68-K68)))</f>
        <v/>
      </c>
    </row>
    <row r="69">
      <c r="A69" t="inlineStr">
        <is>
          <t>NORTHBAY-FAB</t>
        </is>
      </c>
      <c r="B69" t="inlineStr">
        <is>
          <t>2026-10-08</t>
        </is>
      </c>
      <c r="C69" t="n">
        <v>3</v>
      </c>
      <c r="D69" t="n">
        <v>19</v>
      </c>
      <c r="E69" t="n">
        <v>4</v>
      </c>
      <c r="F69" t="n">
        <v>21891</v>
      </c>
      <c r="G69" t="n">
        <v>0</v>
      </c>
      <c r="H69" t="n">
        <v>18356</v>
      </c>
      <c r="I69" t="n">
        <v>0</v>
      </c>
      <c r="J69" t="n">
        <v>18356</v>
      </c>
      <c r="K69" t="n">
        <v>0</v>
      </c>
      <c r="L69">
        <f>MIN(F69,J69)</f>
        <v/>
      </c>
      <c r="M69">
        <f>MIN(K69,MAX(0,F69-(J69-K69)))</f>
        <v/>
      </c>
    </row>
    <row r="70">
      <c r="A70" t="inlineStr">
        <is>
          <t>NORTHBAY-FAB</t>
        </is>
      </c>
      <c r="B70" t="inlineStr">
        <is>
          <t>2026-10-08</t>
        </is>
      </c>
      <c r="C70" t="n">
        <v>3</v>
      </c>
      <c r="D70" t="n">
        <v>20</v>
      </c>
      <c r="E70" t="n">
        <v>4</v>
      </c>
      <c r="F70" t="n">
        <v>21891</v>
      </c>
      <c r="G70" t="n">
        <v>0</v>
      </c>
      <c r="H70" t="n">
        <v>17938</v>
      </c>
      <c r="I70" t="n">
        <v>0</v>
      </c>
      <c r="J70" t="n">
        <v>17938</v>
      </c>
      <c r="K70" t="n">
        <v>0</v>
      </c>
      <c r="L70">
        <f>MIN(F70,J70)</f>
        <v/>
      </c>
      <c r="M70">
        <f>MIN(K70,MAX(0,F70-(J70-K70)))</f>
        <v/>
      </c>
    </row>
    <row r="71">
      <c r="A71" t="inlineStr">
        <is>
          <t>NORTHBAY-FAB</t>
        </is>
      </c>
      <c r="B71" t="inlineStr">
        <is>
          <t>2026-10-08</t>
        </is>
      </c>
      <c r="C71" t="n">
        <v>3</v>
      </c>
      <c r="D71" t="n">
        <v>21</v>
      </c>
      <c r="E71" t="n">
        <v>4</v>
      </c>
      <c r="F71" t="n">
        <v>21891</v>
      </c>
      <c r="G71" t="n">
        <v>0</v>
      </c>
      <c r="H71" t="n">
        <v>17241</v>
      </c>
      <c r="I71" t="n">
        <v>0</v>
      </c>
      <c r="J71" t="n">
        <v>17241</v>
      </c>
      <c r="K71" t="n">
        <v>0</v>
      </c>
      <c r="L71">
        <f>MIN(F71,J71)</f>
        <v/>
      </c>
      <c r="M71">
        <f>MIN(K71,MAX(0,F71-(J71-K71)))</f>
        <v/>
      </c>
    </row>
    <row r="72">
      <c r="A72" t="inlineStr">
        <is>
          <t>NORTHBAY-FAB</t>
        </is>
      </c>
      <c r="B72" t="inlineStr">
        <is>
          <t>2026-10-08</t>
        </is>
      </c>
      <c r="C72" t="n">
        <v>3</v>
      </c>
      <c r="D72" t="n">
        <v>22</v>
      </c>
      <c r="E72" t="n">
        <v>4</v>
      </c>
      <c r="F72" t="n">
        <v>21891</v>
      </c>
      <c r="G72" t="n">
        <v>0</v>
      </c>
      <c r="H72" t="n">
        <v>16724</v>
      </c>
      <c r="I72" t="n">
        <v>0</v>
      </c>
      <c r="J72" t="n">
        <v>16724</v>
      </c>
      <c r="K72" t="n">
        <v>0</v>
      </c>
      <c r="L72">
        <f>MIN(F72,J72)</f>
        <v/>
      </c>
      <c r="M72">
        <f>MIN(K72,MAX(0,F72-(J72-K72)))</f>
        <v/>
      </c>
    </row>
    <row r="73">
      <c r="A73" t="inlineStr">
        <is>
          <t>NORTHBAY-FAB</t>
        </is>
      </c>
      <c r="B73" t="inlineStr">
        <is>
          <t>2026-10-08</t>
        </is>
      </c>
      <c r="C73" t="n">
        <v>3</v>
      </c>
      <c r="D73" t="n">
        <v>23</v>
      </c>
      <c r="E73" t="n">
        <v>4</v>
      </c>
      <c r="F73" t="n">
        <v>21891</v>
      </c>
      <c r="G73" t="n">
        <v>0</v>
      </c>
      <c r="H73" t="n">
        <v>16395</v>
      </c>
      <c r="I73" t="n">
        <v>0</v>
      </c>
      <c r="J73" t="n">
        <v>16395</v>
      </c>
      <c r="K73" t="n">
        <v>0</v>
      </c>
      <c r="L73">
        <f>MIN(F73,J73)</f>
        <v/>
      </c>
      <c r="M73">
        <f>MIN(K73,MAX(0,F73-(J73-K73)))</f>
        <v/>
      </c>
    </row>
    <row r="74">
      <c r="A74" t="inlineStr">
        <is>
          <t>NORTHBAY-FAB</t>
        </is>
      </c>
      <c r="B74" t="inlineStr">
        <is>
          <t>2026-10-09</t>
        </is>
      </c>
      <c r="C74" t="n">
        <v>4</v>
      </c>
      <c r="D74" t="n">
        <v>0</v>
      </c>
      <c r="E74" t="n">
        <v>5</v>
      </c>
      <c r="F74" t="n">
        <v>21891</v>
      </c>
      <c r="G74" t="n">
        <v>0</v>
      </c>
      <c r="H74" t="n">
        <v>15709</v>
      </c>
      <c r="I74" t="n">
        <v>0</v>
      </c>
      <c r="J74" t="n">
        <v>15709</v>
      </c>
      <c r="K74" t="n">
        <v>0</v>
      </c>
      <c r="L74">
        <f>MIN(F74,J74)</f>
        <v/>
      </c>
      <c r="M74">
        <f>MIN(K74,MAX(0,F74-(J74-K74)))</f>
        <v/>
      </c>
    </row>
    <row r="75">
      <c r="A75" t="inlineStr">
        <is>
          <t>NORTHBAY-FAB</t>
        </is>
      </c>
      <c r="B75" t="inlineStr">
        <is>
          <t>2026-10-09</t>
        </is>
      </c>
      <c r="C75" t="n">
        <v>4</v>
      </c>
      <c r="D75" t="n">
        <v>1</v>
      </c>
      <c r="E75" t="n">
        <v>5</v>
      </c>
      <c r="F75" t="n">
        <v>21891</v>
      </c>
      <c r="G75" t="n">
        <v>0</v>
      </c>
      <c r="H75" t="n">
        <v>15311</v>
      </c>
      <c r="I75" t="n">
        <v>0</v>
      </c>
      <c r="J75" t="n">
        <v>15311</v>
      </c>
      <c r="K75" t="n">
        <v>0</v>
      </c>
      <c r="L75">
        <f>MIN(F75,J75)</f>
        <v/>
      </c>
      <c r="M75">
        <f>MIN(K75,MAX(0,F75-(J75-K75)))</f>
        <v/>
      </c>
    </row>
    <row r="76">
      <c r="A76" t="inlineStr">
        <is>
          <t>NORTHBAY-FAB</t>
        </is>
      </c>
      <c r="B76" t="inlineStr">
        <is>
          <t>2026-10-09</t>
        </is>
      </c>
      <c r="C76" t="n">
        <v>4</v>
      </c>
      <c r="D76" t="n">
        <v>2</v>
      </c>
      <c r="E76" t="n">
        <v>5</v>
      </c>
      <c r="F76" t="n">
        <v>21891</v>
      </c>
      <c r="G76" t="n">
        <v>0</v>
      </c>
      <c r="H76" t="n">
        <v>14726</v>
      </c>
      <c r="I76" t="n">
        <v>0</v>
      </c>
      <c r="J76" t="n">
        <v>14726</v>
      </c>
      <c r="K76" t="n">
        <v>0</v>
      </c>
      <c r="L76">
        <f>MIN(F76,J76)</f>
        <v/>
      </c>
      <c r="M76">
        <f>MIN(K76,MAX(0,F76-(J76-K76)))</f>
        <v/>
      </c>
    </row>
    <row r="77">
      <c r="A77" t="inlineStr">
        <is>
          <t>NORTHBAY-FAB</t>
        </is>
      </c>
      <c r="B77" t="inlineStr">
        <is>
          <t>2026-10-09</t>
        </is>
      </c>
      <c r="C77" t="n">
        <v>4</v>
      </c>
      <c r="D77" t="n">
        <v>3</v>
      </c>
      <c r="E77" t="n">
        <v>5</v>
      </c>
      <c r="F77" t="n">
        <v>21891</v>
      </c>
      <c r="G77" t="n">
        <v>0</v>
      </c>
      <c r="H77" t="n">
        <v>13958</v>
      </c>
      <c r="I77" t="n">
        <v>0</v>
      </c>
      <c r="J77" t="n">
        <v>13958</v>
      </c>
      <c r="K77" t="n">
        <v>0</v>
      </c>
      <c r="L77">
        <f>MIN(F77,J77)</f>
        <v/>
      </c>
      <c r="M77">
        <f>MIN(K77,MAX(0,F77-(J77-K77)))</f>
        <v/>
      </c>
    </row>
    <row r="78">
      <c r="A78" t="inlineStr">
        <is>
          <t>NORTHBAY-FAB</t>
        </is>
      </c>
      <c r="B78" t="inlineStr">
        <is>
          <t>2026-10-09</t>
        </is>
      </c>
      <c r="C78" t="n">
        <v>4</v>
      </c>
      <c r="D78" t="n">
        <v>4</v>
      </c>
      <c r="E78" t="n">
        <v>5</v>
      </c>
      <c r="F78" t="n">
        <v>21891</v>
      </c>
      <c r="G78" t="n">
        <v>0</v>
      </c>
      <c r="H78" t="n">
        <v>13405</v>
      </c>
      <c r="I78" t="n">
        <v>0</v>
      </c>
      <c r="J78" t="n">
        <v>13405</v>
      </c>
      <c r="K78" t="n">
        <v>0</v>
      </c>
      <c r="L78">
        <f>MIN(F78,J78)</f>
        <v/>
      </c>
      <c r="M78">
        <f>MIN(K78,MAX(0,F78-(J78-K78)))</f>
        <v/>
      </c>
    </row>
    <row r="79">
      <c r="A79" t="inlineStr">
        <is>
          <t>NORTHBAY-FAB</t>
        </is>
      </c>
      <c r="B79" t="inlineStr">
        <is>
          <t>2026-10-09</t>
        </is>
      </c>
      <c r="C79" t="n">
        <v>4</v>
      </c>
      <c r="D79" t="n">
        <v>5</v>
      </c>
      <c r="E79" t="n">
        <v>5</v>
      </c>
      <c r="F79" t="n">
        <v>21891</v>
      </c>
      <c r="G79" t="n">
        <v>16</v>
      </c>
      <c r="H79" t="n">
        <v>12758</v>
      </c>
      <c r="I79" t="n">
        <v>0</v>
      </c>
      <c r="J79" t="n">
        <v>12774</v>
      </c>
      <c r="K79" t="n">
        <v>0</v>
      </c>
      <c r="L79">
        <f>MIN(F79,J79)</f>
        <v/>
      </c>
      <c r="M79">
        <f>MIN(K79,MAX(0,F79-(J79-K79)))</f>
        <v/>
      </c>
    </row>
    <row r="80">
      <c r="A80" t="inlineStr">
        <is>
          <t>NORTHBAY-FAB</t>
        </is>
      </c>
      <c r="B80" t="inlineStr">
        <is>
          <t>2026-10-09</t>
        </is>
      </c>
      <c r="C80" t="n">
        <v>4</v>
      </c>
      <c r="D80" t="n">
        <v>6</v>
      </c>
      <c r="E80" t="n">
        <v>5</v>
      </c>
      <c r="F80" t="n">
        <v>21891</v>
      </c>
      <c r="G80" t="n">
        <v>887</v>
      </c>
      <c r="H80" t="n">
        <v>12476</v>
      </c>
      <c r="I80" t="n">
        <v>0</v>
      </c>
      <c r="J80" t="n">
        <v>13363</v>
      </c>
      <c r="K80" t="n">
        <v>0</v>
      </c>
      <c r="L80">
        <f>MIN(F80,J80)</f>
        <v/>
      </c>
      <c r="M80">
        <f>MIN(K80,MAX(0,F80-(J80-K80)))</f>
        <v/>
      </c>
    </row>
    <row r="81">
      <c r="A81" t="inlineStr">
        <is>
          <t>NORTHBAY-FAB</t>
        </is>
      </c>
      <c r="B81" t="inlineStr">
        <is>
          <t>2026-10-09</t>
        </is>
      </c>
      <c r="C81" t="n">
        <v>4</v>
      </c>
      <c r="D81" t="n">
        <v>7</v>
      </c>
      <c r="E81" t="n">
        <v>5</v>
      </c>
      <c r="F81" t="n">
        <v>21891</v>
      </c>
      <c r="G81" t="n">
        <v>6468</v>
      </c>
      <c r="H81" t="n">
        <v>11561</v>
      </c>
      <c r="I81" t="n">
        <v>0</v>
      </c>
      <c r="J81" t="n">
        <v>18029</v>
      </c>
      <c r="K81" t="n">
        <v>0</v>
      </c>
      <c r="L81">
        <f>MIN(F81,J81)</f>
        <v/>
      </c>
      <c r="M81">
        <f>MIN(K81,MAX(0,F81-(J81-K81)))</f>
        <v/>
      </c>
    </row>
    <row r="82">
      <c r="A82" t="inlineStr">
        <is>
          <t>NORTHBAY-FAB</t>
        </is>
      </c>
      <c r="B82" t="inlineStr">
        <is>
          <t>2026-10-09</t>
        </is>
      </c>
      <c r="C82" t="n">
        <v>4</v>
      </c>
      <c r="D82" t="n">
        <v>8</v>
      </c>
      <c r="E82" t="n">
        <v>5</v>
      </c>
      <c r="F82" t="n">
        <v>21891</v>
      </c>
      <c r="G82" t="n">
        <v>14342</v>
      </c>
      <c r="H82" t="n">
        <v>11088</v>
      </c>
      <c r="I82" t="n">
        <v>0</v>
      </c>
      <c r="J82" t="n">
        <v>25430</v>
      </c>
      <c r="K82" t="n">
        <v>0</v>
      </c>
      <c r="L82">
        <f>MIN(F82,J82)</f>
        <v/>
      </c>
      <c r="M82">
        <f>MIN(K82,MAX(0,F82-(J82-K82)))</f>
        <v/>
      </c>
    </row>
    <row r="83">
      <c r="A83" t="inlineStr">
        <is>
          <t>NORTHBAY-FAB</t>
        </is>
      </c>
      <c r="B83" t="inlineStr">
        <is>
          <t>2026-10-09</t>
        </is>
      </c>
      <c r="C83" t="n">
        <v>4</v>
      </c>
      <c r="D83" t="n">
        <v>9</v>
      </c>
      <c r="E83" t="n">
        <v>5</v>
      </c>
      <c r="F83" t="n">
        <v>21891</v>
      </c>
      <c r="G83" t="n">
        <v>20528</v>
      </c>
      <c r="H83" t="n">
        <v>11874</v>
      </c>
      <c r="I83" t="n">
        <v>0</v>
      </c>
      <c r="J83" t="n">
        <v>32402</v>
      </c>
      <c r="K83" t="n">
        <v>0</v>
      </c>
      <c r="L83">
        <f>MIN(F83,J83)</f>
        <v/>
      </c>
      <c r="M83">
        <f>MIN(K83,MAX(0,F83-(J83-K83)))</f>
        <v/>
      </c>
    </row>
    <row r="84">
      <c r="A84" t="inlineStr">
        <is>
          <t>NORTHBAY-FAB</t>
        </is>
      </c>
      <c r="B84" t="inlineStr">
        <is>
          <t>2026-10-09</t>
        </is>
      </c>
      <c r="C84" t="n">
        <v>4</v>
      </c>
      <c r="D84" t="n">
        <v>10</v>
      </c>
      <c r="E84" t="n">
        <v>5</v>
      </c>
      <c r="F84" t="n">
        <v>21891</v>
      </c>
      <c r="G84" t="n">
        <v>24257</v>
      </c>
      <c r="H84" t="n">
        <v>13518</v>
      </c>
      <c r="I84" t="n">
        <v>0</v>
      </c>
      <c r="J84" t="n">
        <v>37775</v>
      </c>
      <c r="K84" t="n">
        <v>0</v>
      </c>
      <c r="L84">
        <f>MIN(F84,J84)</f>
        <v/>
      </c>
      <c r="M84">
        <f>MIN(K84,MAX(0,F84-(J84-K84)))</f>
        <v/>
      </c>
    </row>
    <row r="85">
      <c r="A85" t="inlineStr">
        <is>
          <t>NORTHBAY-FAB</t>
        </is>
      </c>
      <c r="B85" t="inlineStr">
        <is>
          <t>2026-10-09</t>
        </is>
      </c>
      <c r="C85" t="n">
        <v>4</v>
      </c>
      <c r="D85" t="n">
        <v>11</v>
      </c>
      <c r="E85" t="n">
        <v>5</v>
      </c>
      <c r="F85" t="n">
        <v>21891</v>
      </c>
      <c r="G85" t="n">
        <v>25500</v>
      </c>
      <c r="H85" t="n">
        <v>15165</v>
      </c>
      <c r="I85" t="n">
        <v>0</v>
      </c>
      <c r="J85" t="n">
        <v>40665</v>
      </c>
      <c r="K85" t="n">
        <v>0</v>
      </c>
      <c r="L85">
        <f>MIN(F85,J85)</f>
        <v/>
      </c>
      <c r="M85">
        <f>MIN(K85,MAX(0,F85-(J85-K85)))</f>
        <v/>
      </c>
    </row>
    <row r="86">
      <c r="A86" t="inlineStr">
        <is>
          <t>NORTHBAY-FAB</t>
        </is>
      </c>
      <c r="B86" t="inlineStr">
        <is>
          <t>2026-10-09</t>
        </is>
      </c>
      <c r="C86" t="n">
        <v>4</v>
      </c>
      <c r="D86" t="n">
        <v>12</v>
      </c>
      <c r="E86" t="n">
        <v>5</v>
      </c>
      <c r="F86" t="n">
        <v>21891</v>
      </c>
      <c r="G86" t="n">
        <v>25454</v>
      </c>
      <c r="H86" t="n">
        <v>16547</v>
      </c>
      <c r="I86" t="n">
        <v>0</v>
      </c>
      <c r="J86" t="n">
        <v>42001</v>
      </c>
      <c r="K86" t="n">
        <v>0</v>
      </c>
      <c r="L86">
        <f>MIN(F86,J86)</f>
        <v/>
      </c>
      <c r="M86">
        <f>MIN(K86,MAX(0,F86-(J86-K86)))</f>
        <v/>
      </c>
    </row>
    <row r="87">
      <c r="A87" t="inlineStr">
        <is>
          <t>NORTHBAY-FAB</t>
        </is>
      </c>
      <c r="B87" t="inlineStr">
        <is>
          <t>2026-10-09</t>
        </is>
      </c>
      <c r="C87" t="n">
        <v>4</v>
      </c>
      <c r="D87" t="n">
        <v>13</v>
      </c>
      <c r="E87" t="n">
        <v>5</v>
      </c>
      <c r="F87" t="n">
        <v>21891</v>
      </c>
      <c r="G87" t="n">
        <v>23473</v>
      </c>
      <c r="H87" t="n">
        <v>17175</v>
      </c>
      <c r="I87" t="n">
        <v>0</v>
      </c>
      <c r="J87" t="n">
        <v>40648</v>
      </c>
      <c r="K87" t="n">
        <v>0</v>
      </c>
      <c r="L87">
        <f>MIN(F87,J87)</f>
        <v/>
      </c>
      <c r="M87">
        <f>MIN(K87,MAX(0,F87-(J87-K87)))</f>
        <v/>
      </c>
    </row>
    <row r="88">
      <c r="A88" t="inlineStr">
        <is>
          <t>NORTHBAY-FAB</t>
        </is>
      </c>
      <c r="B88" t="inlineStr">
        <is>
          <t>2026-10-09</t>
        </is>
      </c>
      <c r="C88" t="n">
        <v>4</v>
      </c>
      <c r="D88" t="n">
        <v>14</v>
      </c>
      <c r="E88" t="n">
        <v>5</v>
      </c>
      <c r="F88" t="n">
        <v>21891</v>
      </c>
      <c r="G88" t="n">
        <v>20060</v>
      </c>
      <c r="H88" t="n">
        <v>17996</v>
      </c>
      <c r="I88" t="n">
        <v>0</v>
      </c>
      <c r="J88" t="n">
        <v>38056</v>
      </c>
      <c r="K88" t="n">
        <v>0</v>
      </c>
      <c r="L88">
        <f>MIN(F88,J88)</f>
        <v/>
      </c>
      <c r="M88">
        <f>MIN(K88,MAX(0,F88-(J88-K88)))</f>
        <v/>
      </c>
    </row>
    <row r="89">
      <c r="A89" t="inlineStr">
        <is>
          <t>NORTHBAY-FAB</t>
        </is>
      </c>
      <c r="B89" t="inlineStr">
        <is>
          <t>2026-10-09</t>
        </is>
      </c>
      <c r="C89" t="n">
        <v>4</v>
      </c>
      <c r="D89" t="n">
        <v>15</v>
      </c>
      <c r="E89" t="n">
        <v>5</v>
      </c>
      <c r="F89" t="n">
        <v>21891</v>
      </c>
      <c r="G89" t="n">
        <v>14040</v>
      </c>
      <c r="H89" t="n">
        <v>18326</v>
      </c>
      <c r="I89" t="n">
        <v>0</v>
      </c>
      <c r="J89" t="n">
        <v>32366</v>
      </c>
      <c r="K89" t="n">
        <v>0</v>
      </c>
      <c r="L89">
        <f>MIN(F89,J89)</f>
        <v/>
      </c>
      <c r="M89">
        <f>MIN(K89,MAX(0,F89-(J89-K89)))</f>
        <v/>
      </c>
    </row>
    <row r="90">
      <c r="A90" t="inlineStr">
        <is>
          <t>NORTHBAY-FAB</t>
        </is>
      </c>
      <c r="B90" t="inlineStr">
        <is>
          <t>2026-10-09</t>
        </is>
      </c>
      <c r="C90" t="n">
        <v>4</v>
      </c>
      <c r="D90" t="n">
        <v>16</v>
      </c>
      <c r="E90" t="n">
        <v>5</v>
      </c>
      <c r="F90" t="n">
        <v>21891</v>
      </c>
      <c r="G90" t="n">
        <v>6998</v>
      </c>
      <c r="H90" t="n">
        <v>18176</v>
      </c>
      <c r="I90" t="n">
        <v>0</v>
      </c>
      <c r="J90" t="n">
        <v>25174</v>
      </c>
      <c r="K90" t="n">
        <v>0</v>
      </c>
      <c r="L90">
        <f>MIN(F90,J90)</f>
        <v/>
      </c>
      <c r="M90">
        <f>MIN(K90,MAX(0,F90-(J90-K90)))</f>
        <v/>
      </c>
    </row>
    <row r="91">
      <c r="A91" t="inlineStr">
        <is>
          <t>NORTHBAY-FAB</t>
        </is>
      </c>
      <c r="B91" t="inlineStr">
        <is>
          <t>2026-10-09</t>
        </is>
      </c>
      <c r="C91" t="n">
        <v>4</v>
      </c>
      <c r="D91" t="n">
        <v>17</v>
      </c>
      <c r="E91" t="n">
        <v>5</v>
      </c>
      <c r="F91" t="n">
        <v>21891</v>
      </c>
      <c r="G91" t="n">
        <v>1313</v>
      </c>
      <c r="H91" t="n">
        <v>17612</v>
      </c>
      <c r="I91" t="n">
        <v>0</v>
      </c>
      <c r="J91" t="n">
        <v>18925</v>
      </c>
      <c r="K91" t="n">
        <v>0</v>
      </c>
      <c r="L91">
        <f>MIN(F91,J91)</f>
        <v/>
      </c>
      <c r="M91">
        <f>MIN(K91,MAX(0,F91-(J91-K91)))</f>
        <v/>
      </c>
    </row>
    <row r="92">
      <c r="A92" t="inlineStr">
        <is>
          <t>NORTHBAY-FAB</t>
        </is>
      </c>
      <c r="B92" t="inlineStr">
        <is>
          <t>2026-10-09</t>
        </is>
      </c>
      <c r="C92" t="n">
        <v>4</v>
      </c>
      <c r="D92" t="n">
        <v>18</v>
      </c>
      <c r="E92" t="n">
        <v>5</v>
      </c>
      <c r="F92" t="n">
        <v>21891</v>
      </c>
      <c r="G92" t="n">
        <v>0</v>
      </c>
      <c r="H92" t="n">
        <v>18480</v>
      </c>
      <c r="I92" t="n">
        <v>0</v>
      </c>
      <c r="J92" t="n">
        <v>18480</v>
      </c>
      <c r="K92" t="n">
        <v>0</v>
      </c>
      <c r="L92">
        <f>MIN(F92,J92)</f>
        <v/>
      </c>
      <c r="M92">
        <f>MIN(K92,MAX(0,F92-(J92-K92)))</f>
        <v/>
      </c>
    </row>
    <row r="93">
      <c r="A93" t="inlineStr">
        <is>
          <t>NORTHBAY-FAB</t>
        </is>
      </c>
      <c r="B93" t="inlineStr">
        <is>
          <t>2026-10-09</t>
        </is>
      </c>
      <c r="C93" t="n">
        <v>4</v>
      </c>
      <c r="D93" t="n">
        <v>19</v>
      </c>
      <c r="E93" t="n">
        <v>5</v>
      </c>
      <c r="F93" t="n">
        <v>21891</v>
      </c>
      <c r="G93" t="n">
        <v>0</v>
      </c>
      <c r="H93" t="n">
        <v>18522</v>
      </c>
      <c r="I93" t="n">
        <v>0</v>
      </c>
      <c r="J93" t="n">
        <v>18522</v>
      </c>
      <c r="K93" t="n">
        <v>0</v>
      </c>
      <c r="L93">
        <f>MIN(F93,J93)</f>
        <v/>
      </c>
      <c r="M93">
        <f>MIN(K93,MAX(0,F93-(J93-K93)))</f>
        <v/>
      </c>
    </row>
    <row r="94">
      <c r="A94" t="inlineStr">
        <is>
          <t>NORTHBAY-FAB</t>
        </is>
      </c>
      <c r="B94" t="inlineStr">
        <is>
          <t>2026-10-09</t>
        </is>
      </c>
      <c r="C94" t="n">
        <v>4</v>
      </c>
      <c r="D94" t="n">
        <v>20</v>
      </c>
      <c r="E94" t="n">
        <v>5</v>
      </c>
      <c r="F94" t="n">
        <v>21891</v>
      </c>
      <c r="G94" t="n">
        <v>0</v>
      </c>
      <c r="H94" t="n">
        <v>18000</v>
      </c>
      <c r="I94" t="n">
        <v>0</v>
      </c>
      <c r="J94" t="n">
        <v>18000</v>
      </c>
      <c r="K94" t="n">
        <v>0</v>
      </c>
      <c r="L94">
        <f>MIN(F94,J94)</f>
        <v/>
      </c>
      <c r="M94">
        <f>MIN(K94,MAX(0,F94-(J94-K94)))</f>
        <v/>
      </c>
    </row>
    <row r="95">
      <c r="A95" t="inlineStr">
        <is>
          <t>NORTHBAY-FAB</t>
        </is>
      </c>
      <c r="B95" t="inlineStr">
        <is>
          <t>2026-10-09</t>
        </is>
      </c>
      <c r="C95" t="n">
        <v>4</v>
      </c>
      <c r="D95" t="n">
        <v>21</v>
      </c>
      <c r="E95" t="n">
        <v>5</v>
      </c>
      <c r="F95" t="n">
        <v>21891</v>
      </c>
      <c r="G95" t="n">
        <v>0</v>
      </c>
      <c r="H95" t="n">
        <v>17402</v>
      </c>
      <c r="I95" t="n">
        <v>0</v>
      </c>
      <c r="J95" t="n">
        <v>17402</v>
      </c>
      <c r="K95" t="n">
        <v>0</v>
      </c>
      <c r="L95">
        <f>MIN(F95,J95)</f>
        <v/>
      </c>
      <c r="M95">
        <f>MIN(K95,MAX(0,F95-(J95-K95)))</f>
        <v/>
      </c>
    </row>
    <row r="96">
      <c r="A96" t="inlineStr">
        <is>
          <t>NORTHBAY-FAB</t>
        </is>
      </c>
      <c r="B96" t="inlineStr">
        <is>
          <t>2026-10-09</t>
        </is>
      </c>
      <c r="C96" t="n">
        <v>4</v>
      </c>
      <c r="D96" t="n">
        <v>22</v>
      </c>
      <c r="E96" t="n">
        <v>5</v>
      </c>
      <c r="F96" t="n">
        <v>21891</v>
      </c>
      <c r="G96" t="n">
        <v>0</v>
      </c>
      <c r="H96" t="n">
        <v>16518</v>
      </c>
      <c r="I96" t="n">
        <v>0</v>
      </c>
      <c r="J96" t="n">
        <v>16518</v>
      </c>
      <c r="K96" t="n">
        <v>0</v>
      </c>
      <c r="L96">
        <f>MIN(F96,J96)</f>
        <v/>
      </c>
      <c r="M96">
        <f>MIN(K96,MAX(0,F96-(J96-K96)))</f>
        <v/>
      </c>
    </row>
    <row r="97">
      <c r="A97" t="inlineStr">
        <is>
          <t>NORTHBAY-FAB</t>
        </is>
      </c>
      <c r="B97" t="inlineStr">
        <is>
          <t>2026-10-09</t>
        </is>
      </c>
      <c r="C97" t="n">
        <v>4</v>
      </c>
      <c r="D97" t="n">
        <v>23</v>
      </c>
      <c r="E97" t="n">
        <v>5</v>
      </c>
      <c r="F97" t="n">
        <v>21891</v>
      </c>
      <c r="G97" t="n">
        <v>0</v>
      </c>
      <c r="H97" t="n">
        <v>15165</v>
      </c>
      <c r="I97" t="n">
        <v>0</v>
      </c>
      <c r="J97" t="n">
        <v>15165</v>
      </c>
      <c r="K97" t="n">
        <v>0</v>
      </c>
      <c r="L97">
        <f>MIN(F97,J97)</f>
        <v/>
      </c>
      <c r="M97">
        <f>MIN(K97,MAX(0,F97-(J97-K97)))</f>
        <v/>
      </c>
    </row>
    <row r="98">
      <c r="A98" t="inlineStr">
        <is>
          <t>NORTHBAY-FAB</t>
        </is>
      </c>
      <c r="B98" t="inlineStr">
        <is>
          <t>2026-10-10</t>
        </is>
      </c>
      <c r="C98" t="n">
        <v>5</v>
      </c>
      <c r="D98" t="n">
        <v>0</v>
      </c>
      <c r="E98" t="n">
        <v>6</v>
      </c>
      <c r="F98" t="n">
        <v>21891</v>
      </c>
      <c r="G98" t="n">
        <v>0</v>
      </c>
      <c r="H98" t="n">
        <v>14377</v>
      </c>
      <c r="I98" t="n">
        <v>0</v>
      </c>
      <c r="J98" t="n">
        <v>14377</v>
      </c>
      <c r="K98" t="n">
        <v>0</v>
      </c>
      <c r="L98">
        <f>MIN(F98,J98)</f>
        <v/>
      </c>
      <c r="M98">
        <f>MIN(K98,MAX(0,F98-(J98-K98)))</f>
        <v/>
      </c>
    </row>
    <row r="99">
      <c r="A99" t="inlineStr">
        <is>
          <t>NORTHBAY-FAB</t>
        </is>
      </c>
      <c r="B99" t="inlineStr">
        <is>
          <t>2026-10-10</t>
        </is>
      </c>
      <c r="C99" t="n">
        <v>5</v>
      </c>
      <c r="D99" t="n">
        <v>1</v>
      </c>
      <c r="E99" t="n">
        <v>6</v>
      </c>
      <c r="F99" t="n">
        <v>21891</v>
      </c>
      <c r="G99" t="n">
        <v>0</v>
      </c>
      <c r="H99" t="n">
        <v>14191</v>
      </c>
      <c r="I99" t="n">
        <v>0</v>
      </c>
      <c r="J99" t="n">
        <v>14191</v>
      </c>
      <c r="K99" t="n">
        <v>0</v>
      </c>
      <c r="L99">
        <f>MIN(F99,J99)</f>
        <v/>
      </c>
      <c r="M99">
        <f>MIN(K99,MAX(0,F99-(J99-K99)))</f>
        <v/>
      </c>
    </row>
    <row r="100">
      <c r="A100" t="inlineStr">
        <is>
          <t>NORTHBAY-FAB</t>
        </is>
      </c>
      <c r="B100" t="inlineStr">
        <is>
          <t>2026-10-10</t>
        </is>
      </c>
      <c r="C100" t="n">
        <v>5</v>
      </c>
      <c r="D100" t="n">
        <v>2</v>
      </c>
      <c r="E100" t="n">
        <v>6</v>
      </c>
      <c r="F100" t="n">
        <v>21891</v>
      </c>
      <c r="G100" t="n">
        <v>0</v>
      </c>
      <c r="H100" t="n">
        <v>14204</v>
      </c>
      <c r="I100" t="n">
        <v>0</v>
      </c>
      <c r="J100" t="n">
        <v>14204</v>
      </c>
      <c r="K100" t="n">
        <v>0</v>
      </c>
      <c r="L100">
        <f>MIN(F100,J100)</f>
        <v/>
      </c>
      <c r="M100">
        <f>MIN(K100,MAX(0,F100-(J100-K100)))</f>
        <v/>
      </c>
    </row>
    <row r="101">
      <c r="A101" t="inlineStr">
        <is>
          <t>NORTHBAY-FAB</t>
        </is>
      </c>
      <c r="B101" t="inlineStr">
        <is>
          <t>2026-10-10</t>
        </is>
      </c>
      <c r="C101" t="n">
        <v>5</v>
      </c>
      <c r="D101" t="n">
        <v>3</v>
      </c>
      <c r="E101" t="n">
        <v>6</v>
      </c>
      <c r="F101" t="n">
        <v>21891</v>
      </c>
      <c r="G101" t="n">
        <v>0</v>
      </c>
      <c r="H101" t="n">
        <v>14203</v>
      </c>
      <c r="I101" t="n">
        <v>0</v>
      </c>
      <c r="J101" t="n">
        <v>14203</v>
      </c>
      <c r="K101" t="n">
        <v>0</v>
      </c>
      <c r="L101">
        <f>MIN(F101,J101)</f>
        <v/>
      </c>
      <c r="M101">
        <f>MIN(K101,MAX(0,F101-(J101-K101)))</f>
        <v/>
      </c>
    </row>
    <row r="102">
      <c r="A102" t="inlineStr">
        <is>
          <t>NORTHBAY-FAB</t>
        </is>
      </c>
      <c r="B102" t="inlineStr">
        <is>
          <t>2026-10-10</t>
        </is>
      </c>
      <c r="C102" t="n">
        <v>5</v>
      </c>
      <c r="D102" t="n">
        <v>4</v>
      </c>
      <c r="E102" t="n">
        <v>6</v>
      </c>
      <c r="F102" t="n">
        <v>21891</v>
      </c>
      <c r="G102" t="n">
        <v>0</v>
      </c>
      <c r="H102" t="n">
        <v>13734</v>
      </c>
      <c r="I102" t="n">
        <v>0</v>
      </c>
      <c r="J102" t="n">
        <v>13734</v>
      </c>
      <c r="K102" t="n">
        <v>0</v>
      </c>
      <c r="L102">
        <f>MIN(F102,J102)</f>
        <v/>
      </c>
      <c r="M102">
        <f>MIN(K102,MAX(0,F102-(J102-K102)))</f>
        <v/>
      </c>
    </row>
    <row r="103">
      <c r="A103" t="inlineStr">
        <is>
          <t>NORTHBAY-FAB</t>
        </is>
      </c>
      <c r="B103" t="inlineStr">
        <is>
          <t>2026-10-10</t>
        </is>
      </c>
      <c r="C103" t="n">
        <v>5</v>
      </c>
      <c r="D103" t="n">
        <v>5</v>
      </c>
      <c r="E103" t="n">
        <v>6</v>
      </c>
      <c r="F103" t="n">
        <v>21891</v>
      </c>
      <c r="G103" t="n">
        <v>25</v>
      </c>
      <c r="H103" t="n">
        <v>12861</v>
      </c>
      <c r="I103" t="n">
        <v>0</v>
      </c>
      <c r="J103" t="n">
        <v>12886</v>
      </c>
      <c r="K103" t="n">
        <v>0</v>
      </c>
      <c r="L103">
        <f>MIN(F103,J103)</f>
        <v/>
      </c>
      <c r="M103">
        <f>MIN(K103,MAX(0,F103-(J103-K103)))</f>
        <v/>
      </c>
    </row>
    <row r="104">
      <c r="A104" t="inlineStr">
        <is>
          <t>NORTHBAY-FAB</t>
        </is>
      </c>
      <c r="B104" t="inlineStr">
        <is>
          <t>2026-10-10</t>
        </is>
      </c>
      <c r="C104" t="n">
        <v>5</v>
      </c>
      <c r="D104" t="n">
        <v>6</v>
      </c>
      <c r="E104" t="n">
        <v>6</v>
      </c>
      <c r="F104" t="n">
        <v>21891</v>
      </c>
      <c r="G104" t="n">
        <v>797</v>
      </c>
      <c r="H104" t="n">
        <v>13499</v>
      </c>
      <c r="I104" t="n">
        <v>0</v>
      </c>
      <c r="J104" t="n">
        <v>14296</v>
      </c>
      <c r="K104" t="n">
        <v>0</v>
      </c>
      <c r="L104">
        <f>MIN(F104,J104)</f>
        <v/>
      </c>
      <c r="M104">
        <f>MIN(K104,MAX(0,F104-(J104-K104)))</f>
        <v/>
      </c>
    </row>
    <row r="105">
      <c r="A105" t="inlineStr">
        <is>
          <t>NORTHBAY-FAB</t>
        </is>
      </c>
      <c r="B105" t="inlineStr">
        <is>
          <t>2026-10-10</t>
        </is>
      </c>
      <c r="C105" t="n">
        <v>5</v>
      </c>
      <c r="D105" t="n">
        <v>7</v>
      </c>
      <c r="E105" t="n">
        <v>6</v>
      </c>
      <c r="F105" t="n">
        <v>21891</v>
      </c>
      <c r="G105" t="n">
        <v>6379</v>
      </c>
      <c r="H105" t="n">
        <v>13814</v>
      </c>
      <c r="I105" t="n">
        <v>0</v>
      </c>
      <c r="J105" t="n">
        <v>20193</v>
      </c>
      <c r="K105" t="n">
        <v>0</v>
      </c>
      <c r="L105">
        <f>MIN(F105,J105)</f>
        <v/>
      </c>
      <c r="M105">
        <f>MIN(K105,MAX(0,F105-(J105-K105)))</f>
        <v/>
      </c>
    </row>
    <row r="106">
      <c r="A106" t="inlineStr">
        <is>
          <t>NORTHBAY-FAB</t>
        </is>
      </c>
      <c r="B106" t="inlineStr">
        <is>
          <t>2026-10-10</t>
        </is>
      </c>
      <c r="C106" t="n">
        <v>5</v>
      </c>
      <c r="D106" t="n">
        <v>8</v>
      </c>
      <c r="E106" t="n">
        <v>6</v>
      </c>
      <c r="F106" t="n">
        <v>21891</v>
      </c>
      <c r="G106" t="n">
        <v>13724</v>
      </c>
      <c r="H106" t="n">
        <v>13881</v>
      </c>
      <c r="I106" t="n">
        <v>0</v>
      </c>
      <c r="J106" t="n">
        <v>27605</v>
      </c>
      <c r="K106" t="n">
        <v>0</v>
      </c>
      <c r="L106">
        <f>MIN(F106,J106)</f>
        <v/>
      </c>
      <c r="M106">
        <f>MIN(K106,MAX(0,F106-(J106-K106)))</f>
        <v/>
      </c>
    </row>
    <row r="107">
      <c r="A107" t="inlineStr">
        <is>
          <t>NORTHBAY-FAB</t>
        </is>
      </c>
      <c r="B107" t="inlineStr">
        <is>
          <t>2026-10-10</t>
        </is>
      </c>
      <c r="C107" t="n">
        <v>5</v>
      </c>
      <c r="D107" t="n">
        <v>9</v>
      </c>
      <c r="E107" t="n">
        <v>6</v>
      </c>
      <c r="F107" t="n">
        <v>21891</v>
      </c>
      <c r="G107" t="n">
        <v>19884</v>
      </c>
      <c r="H107" t="n">
        <v>14699</v>
      </c>
      <c r="I107" t="n">
        <v>0</v>
      </c>
      <c r="J107" t="n">
        <v>34583</v>
      </c>
      <c r="K107" t="n">
        <v>0</v>
      </c>
      <c r="L107">
        <f>MIN(F107,J107)</f>
        <v/>
      </c>
      <c r="M107">
        <f>MIN(K107,MAX(0,F107-(J107-K107)))</f>
        <v/>
      </c>
    </row>
    <row r="108">
      <c r="A108" t="inlineStr">
        <is>
          <t>NORTHBAY-FAB</t>
        </is>
      </c>
      <c r="B108" t="inlineStr">
        <is>
          <t>2026-10-10</t>
        </is>
      </c>
      <c r="C108" t="n">
        <v>5</v>
      </c>
      <c r="D108" t="n">
        <v>10</v>
      </c>
      <c r="E108" t="n">
        <v>6</v>
      </c>
      <c r="F108" t="n">
        <v>21891</v>
      </c>
      <c r="G108" t="n">
        <v>23501</v>
      </c>
      <c r="H108" t="n">
        <v>15698</v>
      </c>
      <c r="I108" t="n">
        <v>0</v>
      </c>
      <c r="J108" t="n">
        <v>39199</v>
      </c>
      <c r="K108" t="n">
        <v>0</v>
      </c>
      <c r="L108">
        <f>MIN(F108,J108)</f>
        <v/>
      </c>
      <c r="M108">
        <f>MIN(K108,MAX(0,F108-(J108-K108)))</f>
        <v/>
      </c>
    </row>
    <row r="109">
      <c r="A109" t="inlineStr">
        <is>
          <t>NORTHBAY-FAB</t>
        </is>
      </c>
      <c r="B109" t="inlineStr">
        <is>
          <t>2026-10-10</t>
        </is>
      </c>
      <c r="C109" t="n">
        <v>5</v>
      </c>
      <c r="D109" t="n">
        <v>11</v>
      </c>
      <c r="E109" t="n">
        <v>6</v>
      </c>
      <c r="F109" t="n">
        <v>21891</v>
      </c>
      <c r="G109" t="n">
        <v>25143</v>
      </c>
      <c r="H109" t="n">
        <v>17160</v>
      </c>
      <c r="I109" t="n">
        <v>0</v>
      </c>
      <c r="J109" t="n">
        <v>42303</v>
      </c>
      <c r="K109" t="n">
        <v>0</v>
      </c>
      <c r="L109">
        <f>MIN(F109,J109)</f>
        <v/>
      </c>
      <c r="M109">
        <f>MIN(K109,MAX(0,F109-(J109-K109)))</f>
        <v/>
      </c>
    </row>
    <row r="110">
      <c r="A110" t="inlineStr">
        <is>
          <t>NORTHBAY-FAB</t>
        </is>
      </c>
      <c r="B110" t="inlineStr">
        <is>
          <t>2026-10-10</t>
        </is>
      </c>
      <c r="C110" t="n">
        <v>5</v>
      </c>
      <c r="D110" t="n">
        <v>12</v>
      </c>
      <c r="E110" t="n">
        <v>6</v>
      </c>
      <c r="F110" t="n">
        <v>21891</v>
      </c>
      <c r="G110" t="n">
        <v>24654</v>
      </c>
      <c r="H110" t="n">
        <v>18261</v>
      </c>
      <c r="I110" t="n">
        <v>0</v>
      </c>
      <c r="J110" t="n">
        <v>42915</v>
      </c>
      <c r="K110" t="n">
        <v>0</v>
      </c>
      <c r="L110">
        <f>MIN(F110,J110)</f>
        <v/>
      </c>
      <c r="M110">
        <f>MIN(K110,MAX(0,F110-(J110-K110)))</f>
        <v/>
      </c>
    </row>
    <row r="111">
      <c r="A111" t="inlineStr">
        <is>
          <t>NORTHBAY-FAB</t>
        </is>
      </c>
      <c r="B111" t="inlineStr">
        <is>
          <t>2026-10-10</t>
        </is>
      </c>
      <c r="C111" t="n">
        <v>5</v>
      </c>
      <c r="D111" t="n">
        <v>13</v>
      </c>
      <c r="E111" t="n">
        <v>6</v>
      </c>
      <c r="F111" t="n">
        <v>21891</v>
      </c>
      <c r="G111" t="n">
        <v>22805</v>
      </c>
      <c r="H111" t="n">
        <v>18684</v>
      </c>
      <c r="I111" t="n">
        <v>0</v>
      </c>
      <c r="J111" t="n">
        <v>41489</v>
      </c>
      <c r="K111" t="n">
        <v>0</v>
      </c>
      <c r="L111">
        <f>MIN(F111,J111)</f>
        <v/>
      </c>
      <c r="M111">
        <f>MIN(K111,MAX(0,F111-(J111-K111)))</f>
        <v/>
      </c>
    </row>
    <row r="112">
      <c r="A112" t="inlineStr">
        <is>
          <t>NORTHBAY-FAB</t>
        </is>
      </c>
      <c r="B112" t="inlineStr">
        <is>
          <t>2026-10-10</t>
        </is>
      </c>
      <c r="C112" t="n">
        <v>5</v>
      </c>
      <c r="D112" t="n">
        <v>14</v>
      </c>
      <c r="E112" t="n">
        <v>6</v>
      </c>
      <c r="F112" t="n">
        <v>21891</v>
      </c>
      <c r="G112" t="n">
        <v>19795</v>
      </c>
      <c r="H112" t="n">
        <v>18777</v>
      </c>
      <c r="I112" t="n">
        <v>0</v>
      </c>
      <c r="J112" t="n">
        <v>38572</v>
      </c>
      <c r="K112" t="n">
        <v>0</v>
      </c>
      <c r="L112">
        <f>MIN(F112,J112)</f>
        <v/>
      </c>
      <c r="M112">
        <f>MIN(K112,MAX(0,F112-(J112-K112)))</f>
        <v/>
      </c>
    </row>
    <row r="113">
      <c r="A113" t="inlineStr">
        <is>
          <t>NORTHBAY-FAB</t>
        </is>
      </c>
      <c r="B113" t="inlineStr">
        <is>
          <t>2026-10-10</t>
        </is>
      </c>
      <c r="C113" t="n">
        <v>5</v>
      </c>
      <c r="D113" t="n">
        <v>15</v>
      </c>
      <c r="E113" t="n">
        <v>6</v>
      </c>
      <c r="F113" t="n">
        <v>21891</v>
      </c>
      <c r="G113" t="n">
        <v>14229</v>
      </c>
      <c r="H113" t="n">
        <v>18793</v>
      </c>
      <c r="I113" t="n">
        <v>0</v>
      </c>
      <c r="J113" t="n">
        <v>33022</v>
      </c>
      <c r="K113" t="n">
        <v>0</v>
      </c>
      <c r="L113">
        <f>MIN(F113,J113)</f>
        <v/>
      </c>
      <c r="M113">
        <f>MIN(K113,MAX(0,F113-(J113-K113)))</f>
        <v/>
      </c>
    </row>
    <row r="114">
      <c r="A114" t="inlineStr">
        <is>
          <t>NORTHBAY-FAB</t>
        </is>
      </c>
      <c r="B114" t="inlineStr">
        <is>
          <t>2026-10-10</t>
        </is>
      </c>
      <c r="C114" t="n">
        <v>5</v>
      </c>
      <c r="D114" t="n">
        <v>16</v>
      </c>
      <c r="E114" t="n">
        <v>6</v>
      </c>
      <c r="F114" t="n">
        <v>21891</v>
      </c>
      <c r="G114" t="n">
        <v>6936</v>
      </c>
      <c r="H114" t="n">
        <v>19137</v>
      </c>
      <c r="I114" t="n">
        <v>0</v>
      </c>
      <c r="J114" t="n">
        <v>26073</v>
      </c>
      <c r="K114" t="n">
        <v>0</v>
      </c>
      <c r="L114">
        <f>MIN(F114,J114)</f>
        <v/>
      </c>
      <c r="M114">
        <f>MIN(K114,MAX(0,F114-(J114-K114)))</f>
        <v/>
      </c>
    </row>
    <row r="115">
      <c r="A115" t="inlineStr">
        <is>
          <t>NORTHBAY-FAB</t>
        </is>
      </c>
      <c r="B115" t="inlineStr">
        <is>
          <t>2026-10-10</t>
        </is>
      </c>
      <c r="C115" t="n">
        <v>5</v>
      </c>
      <c r="D115" t="n">
        <v>17</v>
      </c>
      <c r="E115" t="n">
        <v>6</v>
      </c>
      <c r="F115" t="n">
        <v>21891</v>
      </c>
      <c r="G115" t="n">
        <v>1201</v>
      </c>
      <c r="H115" t="n">
        <v>19311</v>
      </c>
      <c r="I115" t="n">
        <v>0</v>
      </c>
      <c r="J115" t="n">
        <v>20512</v>
      </c>
      <c r="K115" t="n">
        <v>0</v>
      </c>
      <c r="L115">
        <f>MIN(F115,J115)</f>
        <v/>
      </c>
      <c r="M115">
        <f>MIN(K115,MAX(0,F115-(J115-K115)))</f>
        <v/>
      </c>
    </row>
    <row r="116">
      <c r="A116" t="inlineStr">
        <is>
          <t>NORTHBAY-FAB</t>
        </is>
      </c>
      <c r="B116" t="inlineStr">
        <is>
          <t>2026-10-10</t>
        </is>
      </c>
      <c r="C116" t="n">
        <v>5</v>
      </c>
      <c r="D116" t="n">
        <v>18</v>
      </c>
      <c r="E116" t="n">
        <v>6</v>
      </c>
      <c r="F116" t="n">
        <v>21891</v>
      </c>
      <c r="G116" t="n">
        <v>0</v>
      </c>
      <c r="H116" t="n">
        <v>19192</v>
      </c>
      <c r="I116" t="n">
        <v>0</v>
      </c>
      <c r="J116" t="n">
        <v>19192</v>
      </c>
      <c r="K116" t="n">
        <v>0</v>
      </c>
      <c r="L116">
        <f>MIN(F116,J116)</f>
        <v/>
      </c>
      <c r="M116">
        <f>MIN(K116,MAX(0,F116-(J116-K116)))</f>
        <v/>
      </c>
    </row>
    <row r="117">
      <c r="A117" t="inlineStr">
        <is>
          <t>NORTHBAY-FAB</t>
        </is>
      </c>
      <c r="B117" t="inlineStr">
        <is>
          <t>2026-10-10</t>
        </is>
      </c>
      <c r="C117" t="n">
        <v>5</v>
      </c>
      <c r="D117" t="n">
        <v>19</v>
      </c>
      <c r="E117" t="n">
        <v>6</v>
      </c>
      <c r="F117" t="n">
        <v>21891</v>
      </c>
      <c r="G117" t="n">
        <v>0</v>
      </c>
      <c r="H117" t="n">
        <v>18995</v>
      </c>
      <c r="I117" t="n">
        <v>0</v>
      </c>
      <c r="J117" t="n">
        <v>18995</v>
      </c>
      <c r="K117" t="n">
        <v>0</v>
      </c>
      <c r="L117">
        <f>MIN(F117,J117)</f>
        <v/>
      </c>
      <c r="M117">
        <f>MIN(K117,MAX(0,F117-(J117-K117)))</f>
        <v/>
      </c>
    </row>
    <row r="118">
      <c r="A118" t="inlineStr">
        <is>
          <t>NORTHBAY-FAB</t>
        </is>
      </c>
      <c r="B118" t="inlineStr">
        <is>
          <t>2026-10-10</t>
        </is>
      </c>
      <c r="C118" t="n">
        <v>5</v>
      </c>
      <c r="D118" t="n">
        <v>20</v>
      </c>
      <c r="E118" t="n">
        <v>6</v>
      </c>
      <c r="F118" t="n">
        <v>21891</v>
      </c>
      <c r="G118" t="n">
        <v>0</v>
      </c>
      <c r="H118" t="n">
        <v>18556</v>
      </c>
      <c r="I118" t="n">
        <v>0</v>
      </c>
      <c r="J118" t="n">
        <v>18556</v>
      </c>
      <c r="K118" t="n">
        <v>0</v>
      </c>
      <c r="L118">
        <f>MIN(F118,J118)</f>
        <v/>
      </c>
      <c r="M118">
        <f>MIN(K118,MAX(0,F118-(J118-K118)))</f>
        <v/>
      </c>
    </row>
    <row r="119">
      <c r="A119" t="inlineStr">
        <is>
          <t>NORTHBAY-FAB</t>
        </is>
      </c>
      <c r="B119" t="inlineStr">
        <is>
          <t>2026-10-10</t>
        </is>
      </c>
      <c r="C119" t="n">
        <v>5</v>
      </c>
      <c r="D119" t="n">
        <v>21</v>
      </c>
      <c r="E119" t="n">
        <v>6</v>
      </c>
      <c r="F119" t="n">
        <v>21891</v>
      </c>
      <c r="G119" t="n">
        <v>0</v>
      </c>
      <c r="H119" t="n">
        <v>18270</v>
      </c>
      <c r="I119" t="n">
        <v>0</v>
      </c>
      <c r="J119" t="n">
        <v>18270</v>
      </c>
      <c r="K119" t="n">
        <v>0</v>
      </c>
      <c r="L119">
        <f>MIN(F119,J119)</f>
        <v/>
      </c>
      <c r="M119">
        <f>MIN(K119,MAX(0,F119-(J119-K119)))</f>
        <v/>
      </c>
    </row>
    <row r="120">
      <c r="A120" t="inlineStr">
        <is>
          <t>NORTHBAY-FAB</t>
        </is>
      </c>
      <c r="B120" t="inlineStr">
        <is>
          <t>2026-10-10</t>
        </is>
      </c>
      <c r="C120" t="n">
        <v>5</v>
      </c>
      <c r="D120" t="n">
        <v>22</v>
      </c>
      <c r="E120" t="n">
        <v>6</v>
      </c>
      <c r="F120" t="n">
        <v>21891</v>
      </c>
      <c r="G120" t="n">
        <v>0</v>
      </c>
      <c r="H120" t="n">
        <v>17574</v>
      </c>
      <c r="I120" t="n">
        <v>0</v>
      </c>
      <c r="J120" t="n">
        <v>17574</v>
      </c>
      <c r="K120" t="n">
        <v>0</v>
      </c>
      <c r="L120">
        <f>MIN(F120,J120)</f>
        <v/>
      </c>
      <c r="M120">
        <f>MIN(K120,MAX(0,F120-(J120-K120)))</f>
        <v/>
      </c>
    </row>
    <row r="121">
      <c r="A121" t="inlineStr">
        <is>
          <t>NORTHBAY-FAB</t>
        </is>
      </c>
      <c r="B121" t="inlineStr">
        <is>
          <t>2026-10-10</t>
        </is>
      </c>
      <c r="C121" t="n">
        <v>5</v>
      </c>
      <c r="D121" t="n">
        <v>23</v>
      </c>
      <c r="E121" t="n">
        <v>6</v>
      </c>
      <c r="F121" t="n">
        <v>21891</v>
      </c>
      <c r="G121" t="n">
        <v>0</v>
      </c>
      <c r="H121" t="n">
        <v>16464</v>
      </c>
      <c r="I121" t="n">
        <v>0</v>
      </c>
      <c r="J121" t="n">
        <v>16464</v>
      </c>
      <c r="K121" t="n">
        <v>0</v>
      </c>
      <c r="L121">
        <f>MIN(F121,J121)</f>
        <v/>
      </c>
      <c r="M121">
        <f>MIN(K121,MAX(0,F121-(J121-K121)))</f>
        <v/>
      </c>
    </row>
    <row r="122">
      <c r="A122" t="inlineStr">
        <is>
          <t>NORTHBAY-FAB</t>
        </is>
      </c>
      <c r="B122" t="inlineStr">
        <is>
          <t>2026-10-11</t>
        </is>
      </c>
      <c r="C122" t="n">
        <v>6</v>
      </c>
      <c r="D122" t="n">
        <v>0</v>
      </c>
      <c r="E122" t="n">
        <v>7</v>
      </c>
      <c r="F122" t="n">
        <v>21891</v>
      </c>
      <c r="G122" t="n">
        <v>0</v>
      </c>
      <c r="H122" t="n">
        <v>15708</v>
      </c>
      <c r="I122" t="n">
        <v>0</v>
      </c>
      <c r="J122" t="n">
        <v>15708</v>
      </c>
      <c r="K122" t="n">
        <v>0</v>
      </c>
      <c r="L122">
        <f>MIN(F122,J122)</f>
        <v/>
      </c>
      <c r="M122">
        <f>MIN(K122,MAX(0,F122-(J122-K122)))</f>
        <v/>
      </c>
    </row>
    <row r="123">
      <c r="A123" t="inlineStr">
        <is>
          <t>NORTHBAY-FAB</t>
        </is>
      </c>
      <c r="B123" t="inlineStr">
        <is>
          <t>2026-10-11</t>
        </is>
      </c>
      <c r="C123" t="n">
        <v>6</v>
      </c>
      <c r="D123" t="n">
        <v>1</v>
      </c>
      <c r="E123" t="n">
        <v>7</v>
      </c>
      <c r="F123" t="n">
        <v>21891</v>
      </c>
      <c r="G123" t="n">
        <v>0</v>
      </c>
      <c r="H123" t="n">
        <v>15022</v>
      </c>
      <c r="I123" t="n">
        <v>0</v>
      </c>
      <c r="J123" t="n">
        <v>15022</v>
      </c>
      <c r="K123" t="n">
        <v>0</v>
      </c>
      <c r="L123">
        <f>MIN(F123,J123)</f>
        <v/>
      </c>
      <c r="M123">
        <f>MIN(K123,MAX(0,F123-(J123-K123)))</f>
        <v/>
      </c>
    </row>
    <row r="124">
      <c r="A124" t="inlineStr">
        <is>
          <t>NORTHBAY-FAB</t>
        </is>
      </c>
      <c r="B124" t="inlineStr">
        <is>
          <t>2026-10-11</t>
        </is>
      </c>
      <c r="C124" t="n">
        <v>6</v>
      </c>
      <c r="D124" t="n">
        <v>2</v>
      </c>
      <c r="E124" t="n">
        <v>7</v>
      </c>
      <c r="F124" t="n">
        <v>21891</v>
      </c>
      <c r="G124" t="n">
        <v>0</v>
      </c>
      <c r="H124" t="n">
        <v>14158</v>
      </c>
      <c r="I124" t="n">
        <v>0</v>
      </c>
      <c r="J124" t="n">
        <v>14158</v>
      </c>
      <c r="K124" t="n">
        <v>0</v>
      </c>
      <c r="L124">
        <f>MIN(F124,J124)</f>
        <v/>
      </c>
      <c r="M124">
        <f>MIN(K124,MAX(0,F124-(J124-K124)))</f>
        <v/>
      </c>
    </row>
    <row r="125">
      <c r="A125" t="inlineStr">
        <is>
          <t>NORTHBAY-FAB</t>
        </is>
      </c>
      <c r="B125" t="inlineStr">
        <is>
          <t>2026-10-11</t>
        </is>
      </c>
      <c r="C125" t="n">
        <v>6</v>
      </c>
      <c r="D125" t="n">
        <v>3</v>
      </c>
      <c r="E125" t="n">
        <v>7</v>
      </c>
      <c r="F125" t="n">
        <v>21891</v>
      </c>
      <c r="G125" t="n">
        <v>0</v>
      </c>
      <c r="H125" t="n">
        <v>14241</v>
      </c>
      <c r="I125" t="n">
        <v>0</v>
      </c>
      <c r="J125" t="n">
        <v>14241</v>
      </c>
      <c r="K125" t="n">
        <v>0</v>
      </c>
      <c r="L125">
        <f>MIN(F125,J125)</f>
        <v/>
      </c>
      <c r="M125">
        <f>MIN(K125,MAX(0,F125-(J125-K125)))</f>
        <v/>
      </c>
    </row>
    <row r="126">
      <c r="A126" t="inlineStr">
        <is>
          <t>NORTHBAY-FAB</t>
        </is>
      </c>
      <c r="B126" t="inlineStr">
        <is>
          <t>2026-10-11</t>
        </is>
      </c>
      <c r="C126" t="n">
        <v>6</v>
      </c>
      <c r="D126" t="n">
        <v>4</v>
      </c>
      <c r="E126" t="n">
        <v>7</v>
      </c>
      <c r="F126" t="n">
        <v>21891</v>
      </c>
      <c r="G126" t="n">
        <v>0</v>
      </c>
      <c r="H126" t="n">
        <v>14453</v>
      </c>
      <c r="I126" t="n">
        <v>0</v>
      </c>
      <c r="J126" t="n">
        <v>14453</v>
      </c>
      <c r="K126" t="n">
        <v>0</v>
      </c>
      <c r="L126">
        <f>MIN(F126,J126)</f>
        <v/>
      </c>
      <c r="M126">
        <f>MIN(K126,MAX(0,F126-(J126-K126)))</f>
        <v/>
      </c>
    </row>
    <row r="127">
      <c r="A127" t="inlineStr">
        <is>
          <t>NORTHBAY-FAB</t>
        </is>
      </c>
      <c r="B127" t="inlineStr">
        <is>
          <t>2026-10-11</t>
        </is>
      </c>
      <c r="C127" t="n">
        <v>6</v>
      </c>
      <c r="D127" t="n">
        <v>5</v>
      </c>
      <c r="E127" t="n">
        <v>7</v>
      </c>
      <c r="F127" t="n">
        <v>21891</v>
      </c>
      <c r="G127" t="n">
        <v>20</v>
      </c>
      <c r="H127" t="n">
        <v>13955</v>
      </c>
      <c r="I127" t="n">
        <v>0</v>
      </c>
      <c r="J127" t="n">
        <v>13975</v>
      </c>
      <c r="K127" t="n">
        <v>0</v>
      </c>
      <c r="L127">
        <f>MIN(F127,J127)</f>
        <v/>
      </c>
      <c r="M127">
        <f>MIN(K127,MAX(0,F127-(J127-K127)))</f>
        <v/>
      </c>
    </row>
    <row r="128">
      <c r="A128" t="inlineStr">
        <is>
          <t>NORTHBAY-FAB</t>
        </is>
      </c>
      <c r="B128" t="inlineStr">
        <is>
          <t>2026-10-11</t>
        </is>
      </c>
      <c r="C128" t="n">
        <v>6</v>
      </c>
      <c r="D128" t="n">
        <v>6</v>
      </c>
      <c r="E128" t="n">
        <v>7</v>
      </c>
      <c r="F128" t="n">
        <v>21891</v>
      </c>
      <c r="G128" t="n">
        <v>757</v>
      </c>
      <c r="H128" t="n">
        <v>14122</v>
      </c>
      <c r="I128" t="n">
        <v>0</v>
      </c>
      <c r="J128" t="n">
        <v>14879</v>
      </c>
      <c r="K128" t="n">
        <v>0</v>
      </c>
      <c r="L128">
        <f>MIN(F128,J128)</f>
        <v/>
      </c>
      <c r="M128">
        <f>MIN(K128,MAX(0,F128-(J128-K128)))</f>
        <v/>
      </c>
    </row>
    <row r="129">
      <c r="A129" t="inlineStr">
        <is>
          <t>NORTHBAY-FAB</t>
        </is>
      </c>
      <c r="B129" t="inlineStr">
        <is>
          <t>2026-10-11</t>
        </is>
      </c>
      <c r="C129" t="n">
        <v>6</v>
      </c>
      <c r="D129" t="n">
        <v>7</v>
      </c>
      <c r="E129" t="n">
        <v>7</v>
      </c>
      <c r="F129" t="n">
        <v>21891</v>
      </c>
      <c r="G129" t="n">
        <v>5396</v>
      </c>
      <c r="H129" t="n">
        <v>14533</v>
      </c>
      <c r="I129" t="n">
        <v>0</v>
      </c>
      <c r="J129" t="n">
        <v>19929</v>
      </c>
      <c r="K129" t="n">
        <v>0</v>
      </c>
      <c r="L129">
        <f>MIN(F129,J129)</f>
        <v/>
      </c>
      <c r="M129">
        <f>MIN(K129,MAX(0,F129-(J129-K129)))</f>
        <v/>
      </c>
    </row>
    <row r="130">
      <c r="A130" t="inlineStr">
        <is>
          <t>NORTHBAY-FAB</t>
        </is>
      </c>
      <c r="B130" t="inlineStr">
        <is>
          <t>2026-10-11</t>
        </is>
      </c>
      <c r="C130" t="n">
        <v>6</v>
      </c>
      <c r="D130" t="n">
        <v>8</v>
      </c>
      <c r="E130" t="n">
        <v>7</v>
      </c>
      <c r="F130" t="n">
        <v>21891</v>
      </c>
      <c r="G130" t="n">
        <v>12472</v>
      </c>
      <c r="H130" t="n">
        <v>14904</v>
      </c>
      <c r="I130" t="n">
        <v>0</v>
      </c>
      <c r="J130" t="n">
        <v>27376</v>
      </c>
      <c r="K130" t="n">
        <v>0</v>
      </c>
      <c r="L130">
        <f>MIN(F130,J130)</f>
        <v/>
      </c>
      <c r="M130">
        <f>MIN(K130,MAX(0,F130-(J130-K130)))</f>
        <v/>
      </c>
    </row>
    <row r="131">
      <c r="A131" t="inlineStr">
        <is>
          <t>NORTHBAY-FAB</t>
        </is>
      </c>
      <c r="B131" t="inlineStr">
        <is>
          <t>2026-10-11</t>
        </is>
      </c>
      <c r="C131" t="n">
        <v>6</v>
      </c>
      <c r="D131" t="n">
        <v>9</v>
      </c>
      <c r="E131" t="n">
        <v>7</v>
      </c>
      <c r="F131" t="n">
        <v>21891</v>
      </c>
      <c r="G131" t="n">
        <v>19175</v>
      </c>
      <c r="H131" t="n">
        <v>15821</v>
      </c>
      <c r="I131" t="n">
        <v>0</v>
      </c>
      <c r="J131" t="n">
        <v>34996</v>
      </c>
      <c r="K131" t="n">
        <v>0</v>
      </c>
      <c r="L131">
        <f>MIN(F131,J131)</f>
        <v/>
      </c>
      <c r="M131">
        <f>MIN(K131,MAX(0,F131-(J131-K131)))</f>
        <v/>
      </c>
    </row>
    <row r="132">
      <c r="A132" t="inlineStr">
        <is>
          <t>NORTHBAY-FAB</t>
        </is>
      </c>
      <c r="B132" t="inlineStr">
        <is>
          <t>2026-10-11</t>
        </is>
      </c>
      <c r="C132" t="n">
        <v>6</v>
      </c>
      <c r="D132" t="n">
        <v>10</v>
      </c>
      <c r="E132" t="n">
        <v>7</v>
      </c>
      <c r="F132" t="n">
        <v>21891</v>
      </c>
      <c r="G132" t="n">
        <v>22778</v>
      </c>
      <c r="H132" t="n">
        <v>16739</v>
      </c>
      <c r="I132" t="n">
        <v>0</v>
      </c>
      <c r="J132" t="n">
        <v>39517</v>
      </c>
      <c r="K132" t="n">
        <v>0</v>
      </c>
      <c r="L132">
        <f>MIN(F132,J132)</f>
        <v/>
      </c>
      <c r="M132">
        <f>MIN(K132,MAX(0,F132-(J132-K132)))</f>
        <v/>
      </c>
    </row>
    <row r="133">
      <c r="A133" t="inlineStr">
        <is>
          <t>NORTHBAY-FAB</t>
        </is>
      </c>
      <c r="B133" t="inlineStr">
        <is>
          <t>2026-10-11</t>
        </is>
      </c>
      <c r="C133" t="n">
        <v>6</v>
      </c>
      <c r="D133" t="n">
        <v>11</v>
      </c>
      <c r="E133" t="n">
        <v>7</v>
      </c>
      <c r="F133" t="n">
        <v>21891</v>
      </c>
      <c r="G133" t="n">
        <v>24434</v>
      </c>
      <c r="H133" t="n">
        <v>16746</v>
      </c>
      <c r="I133" t="n">
        <v>0</v>
      </c>
      <c r="J133" t="n">
        <v>41180</v>
      </c>
      <c r="K133" t="n">
        <v>0</v>
      </c>
      <c r="L133">
        <f>MIN(F133,J133)</f>
        <v/>
      </c>
      <c r="M133">
        <f>MIN(K133,MAX(0,F133-(J133-K133)))</f>
        <v/>
      </c>
    </row>
    <row r="134">
      <c r="A134" t="inlineStr">
        <is>
          <t>NORTHBAY-FAB</t>
        </is>
      </c>
      <c r="B134" t="inlineStr">
        <is>
          <t>2026-10-11</t>
        </is>
      </c>
      <c r="C134" t="n">
        <v>6</v>
      </c>
      <c r="D134" t="n">
        <v>12</v>
      </c>
      <c r="E134" t="n">
        <v>7</v>
      </c>
      <c r="F134" t="n">
        <v>21891</v>
      </c>
      <c r="G134" t="n">
        <v>24023</v>
      </c>
      <c r="H134" t="n">
        <v>15926</v>
      </c>
      <c r="I134" t="n">
        <v>0</v>
      </c>
      <c r="J134" t="n">
        <v>39949</v>
      </c>
      <c r="K134" t="n">
        <v>0</v>
      </c>
      <c r="L134">
        <f>MIN(F134,J134)</f>
        <v/>
      </c>
      <c r="M134">
        <f>MIN(K134,MAX(0,F134-(J134-K134)))</f>
        <v/>
      </c>
    </row>
    <row r="135">
      <c r="A135" t="inlineStr">
        <is>
          <t>NORTHBAY-FAB</t>
        </is>
      </c>
      <c r="B135" t="inlineStr">
        <is>
          <t>2026-10-11</t>
        </is>
      </c>
      <c r="C135" t="n">
        <v>6</v>
      </c>
      <c r="D135" t="n">
        <v>13</v>
      </c>
      <c r="E135" t="n">
        <v>7</v>
      </c>
      <c r="F135" t="n">
        <v>21891</v>
      </c>
      <c r="G135" t="n">
        <v>22435</v>
      </c>
      <c r="H135" t="n">
        <v>15589</v>
      </c>
      <c r="I135" t="n">
        <v>0</v>
      </c>
      <c r="J135" t="n">
        <v>38024</v>
      </c>
      <c r="K135" t="n">
        <v>0</v>
      </c>
      <c r="L135">
        <f>MIN(F135,J135)</f>
        <v/>
      </c>
      <c r="M135">
        <f>MIN(K135,MAX(0,F135-(J135-K135)))</f>
        <v/>
      </c>
    </row>
    <row r="136">
      <c r="A136" t="inlineStr">
        <is>
          <t>NORTHBAY-FAB</t>
        </is>
      </c>
      <c r="B136" t="inlineStr">
        <is>
          <t>2026-10-11</t>
        </is>
      </c>
      <c r="C136" t="n">
        <v>6</v>
      </c>
      <c r="D136" t="n">
        <v>14</v>
      </c>
      <c r="E136" t="n">
        <v>7</v>
      </c>
      <c r="F136" t="n">
        <v>21891</v>
      </c>
      <c r="G136" t="n">
        <v>18905</v>
      </c>
      <c r="H136" t="n">
        <v>15419</v>
      </c>
      <c r="I136" t="n">
        <v>0</v>
      </c>
      <c r="J136" t="n">
        <v>34324</v>
      </c>
      <c r="K136" t="n">
        <v>0</v>
      </c>
      <c r="L136">
        <f>MIN(F136,J136)</f>
        <v/>
      </c>
      <c r="M136">
        <f>MIN(K136,MAX(0,F136-(J136-K136)))</f>
        <v/>
      </c>
    </row>
    <row r="137">
      <c r="A137" t="inlineStr">
        <is>
          <t>NORTHBAY-FAB</t>
        </is>
      </c>
      <c r="B137" t="inlineStr">
        <is>
          <t>2026-10-11</t>
        </is>
      </c>
      <c r="C137" t="n">
        <v>6</v>
      </c>
      <c r="D137" t="n">
        <v>15</v>
      </c>
      <c r="E137" t="n">
        <v>7</v>
      </c>
      <c r="F137" t="n">
        <v>21891</v>
      </c>
      <c r="G137" t="n">
        <v>13359</v>
      </c>
      <c r="H137" t="n">
        <v>15531</v>
      </c>
      <c r="I137" t="n">
        <v>0</v>
      </c>
      <c r="J137" t="n">
        <v>28890</v>
      </c>
      <c r="K137" t="n">
        <v>0</v>
      </c>
      <c r="L137">
        <f>MIN(F137,J137)</f>
        <v/>
      </c>
      <c r="M137">
        <f>MIN(K137,MAX(0,F137-(J137-K137)))</f>
        <v/>
      </c>
    </row>
    <row r="138">
      <c r="A138" t="inlineStr">
        <is>
          <t>NORTHBAY-FAB</t>
        </is>
      </c>
      <c r="B138" t="inlineStr">
        <is>
          <t>2026-10-11</t>
        </is>
      </c>
      <c r="C138" t="n">
        <v>6</v>
      </c>
      <c r="D138" t="n">
        <v>16</v>
      </c>
      <c r="E138" t="n">
        <v>7</v>
      </c>
      <c r="F138" t="n">
        <v>21891</v>
      </c>
      <c r="G138" t="n">
        <v>6369</v>
      </c>
      <c r="H138" t="n">
        <v>16481</v>
      </c>
      <c r="I138" t="n">
        <v>0</v>
      </c>
      <c r="J138" t="n">
        <v>22850</v>
      </c>
      <c r="K138" t="n">
        <v>0</v>
      </c>
      <c r="L138">
        <f>MIN(F138,J138)</f>
        <v/>
      </c>
      <c r="M138">
        <f>MIN(K138,MAX(0,F138-(J138-K138)))</f>
        <v/>
      </c>
    </row>
    <row r="139">
      <c r="A139" t="inlineStr">
        <is>
          <t>NORTHBAY-FAB</t>
        </is>
      </c>
      <c r="B139" t="inlineStr">
        <is>
          <t>2026-10-11</t>
        </is>
      </c>
      <c r="C139" t="n">
        <v>6</v>
      </c>
      <c r="D139" t="n">
        <v>17</v>
      </c>
      <c r="E139" t="n">
        <v>7</v>
      </c>
      <c r="F139" t="n">
        <v>21891</v>
      </c>
      <c r="G139" t="n">
        <v>1156</v>
      </c>
      <c r="H139" t="n">
        <v>17039</v>
      </c>
      <c r="I139" t="n">
        <v>0</v>
      </c>
      <c r="J139" t="n">
        <v>18195</v>
      </c>
      <c r="K139" t="n">
        <v>0</v>
      </c>
      <c r="L139">
        <f>MIN(F139,J139)</f>
        <v/>
      </c>
      <c r="M139">
        <f>MIN(K139,MAX(0,F139-(J139-K139)))</f>
        <v/>
      </c>
    </row>
    <row r="140">
      <c r="A140" t="inlineStr">
        <is>
          <t>NORTHBAY-FAB</t>
        </is>
      </c>
      <c r="B140" t="inlineStr">
        <is>
          <t>2026-10-11</t>
        </is>
      </c>
      <c r="C140" t="n">
        <v>6</v>
      </c>
      <c r="D140" t="n">
        <v>18</v>
      </c>
      <c r="E140" t="n">
        <v>7</v>
      </c>
      <c r="F140" t="n">
        <v>21891</v>
      </c>
      <c r="G140" t="n">
        <v>0</v>
      </c>
      <c r="H140" t="n">
        <v>16986</v>
      </c>
      <c r="I140" t="n">
        <v>0</v>
      </c>
      <c r="J140" t="n">
        <v>16986</v>
      </c>
      <c r="K140" t="n">
        <v>0</v>
      </c>
      <c r="L140">
        <f>MIN(F140,J140)</f>
        <v/>
      </c>
      <c r="M140">
        <f>MIN(K140,MAX(0,F140-(J140-K140)))</f>
        <v/>
      </c>
    </row>
    <row r="141">
      <c r="A141" t="inlineStr">
        <is>
          <t>NORTHBAY-FAB</t>
        </is>
      </c>
      <c r="B141" t="inlineStr">
        <is>
          <t>2026-10-11</t>
        </is>
      </c>
      <c r="C141" t="n">
        <v>6</v>
      </c>
      <c r="D141" t="n">
        <v>19</v>
      </c>
      <c r="E141" t="n">
        <v>7</v>
      </c>
      <c r="F141" t="n">
        <v>21891</v>
      </c>
      <c r="G141" t="n">
        <v>0</v>
      </c>
      <c r="H141" t="n">
        <v>16598</v>
      </c>
      <c r="I141" t="n">
        <v>0</v>
      </c>
      <c r="J141" t="n">
        <v>16598</v>
      </c>
      <c r="K141" t="n">
        <v>0</v>
      </c>
      <c r="L141">
        <f>MIN(F141,J141)</f>
        <v/>
      </c>
      <c r="M141">
        <f>MIN(K141,MAX(0,F141-(J141-K141)))</f>
        <v/>
      </c>
    </row>
    <row r="142">
      <c r="A142" t="inlineStr">
        <is>
          <t>NORTHBAY-FAB</t>
        </is>
      </c>
      <c r="B142" t="inlineStr">
        <is>
          <t>2026-10-11</t>
        </is>
      </c>
      <c r="C142" t="n">
        <v>6</v>
      </c>
      <c r="D142" t="n">
        <v>20</v>
      </c>
      <c r="E142" t="n">
        <v>7</v>
      </c>
      <c r="F142" t="n">
        <v>21891</v>
      </c>
      <c r="G142" t="n">
        <v>0</v>
      </c>
      <c r="H142" t="n">
        <v>16150</v>
      </c>
      <c r="I142" t="n">
        <v>0</v>
      </c>
      <c r="J142" t="n">
        <v>16150</v>
      </c>
      <c r="K142" t="n">
        <v>0</v>
      </c>
      <c r="L142">
        <f>MIN(F142,J142)</f>
        <v/>
      </c>
      <c r="M142">
        <f>MIN(K142,MAX(0,F142-(J142-K142)))</f>
        <v/>
      </c>
    </row>
    <row r="143">
      <c r="A143" t="inlineStr">
        <is>
          <t>NORTHBAY-FAB</t>
        </is>
      </c>
      <c r="B143" t="inlineStr">
        <is>
          <t>2026-10-11</t>
        </is>
      </c>
      <c r="C143" t="n">
        <v>6</v>
      </c>
      <c r="D143" t="n">
        <v>21</v>
      </c>
      <c r="E143" t="n">
        <v>7</v>
      </c>
      <c r="F143" t="n">
        <v>21891</v>
      </c>
      <c r="G143" t="n">
        <v>0</v>
      </c>
      <c r="H143" t="n">
        <v>15299</v>
      </c>
      <c r="I143" t="n">
        <v>0</v>
      </c>
      <c r="J143" t="n">
        <v>15299</v>
      </c>
      <c r="K143" t="n">
        <v>0</v>
      </c>
      <c r="L143">
        <f>MIN(F143,J143)</f>
        <v/>
      </c>
      <c r="M143">
        <f>MIN(K143,MAX(0,F143-(J143-K143)))</f>
        <v/>
      </c>
    </row>
    <row r="144">
      <c r="A144" t="inlineStr">
        <is>
          <t>NORTHBAY-FAB</t>
        </is>
      </c>
      <c r="B144" t="inlineStr">
        <is>
          <t>2026-10-11</t>
        </is>
      </c>
      <c r="C144" t="n">
        <v>6</v>
      </c>
      <c r="D144" t="n">
        <v>22</v>
      </c>
      <c r="E144" t="n">
        <v>7</v>
      </c>
      <c r="F144" t="n">
        <v>21891</v>
      </c>
      <c r="G144" t="n">
        <v>0</v>
      </c>
      <c r="H144" t="n">
        <v>13540</v>
      </c>
      <c r="I144" t="n">
        <v>0</v>
      </c>
      <c r="J144" t="n">
        <v>13540</v>
      </c>
      <c r="K144" t="n">
        <v>0</v>
      </c>
      <c r="L144">
        <f>MIN(F144,J144)</f>
        <v/>
      </c>
      <c r="M144">
        <f>MIN(K144,MAX(0,F144-(J144-K144)))</f>
        <v/>
      </c>
    </row>
    <row r="145">
      <c r="A145" t="inlineStr">
        <is>
          <t>NORTHBAY-FAB</t>
        </is>
      </c>
      <c r="B145" t="inlineStr">
        <is>
          <t>2026-10-11</t>
        </is>
      </c>
      <c r="C145" t="n">
        <v>6</v>
      </c>
      <c r="D145" t="n">
        <v>23</v>
      </c>
      <c r="E145" t="n">
        <v>7</v>
      </c>
      <c r="F145" t="n">
        <v>21891</v>
      </c>
      <c r="G145" t="n">
        <v>0</v>
      </c>
      <c r="H145" t="n">
        <v>11979</v>
      </c>
      <c r="I145" t="n">
        <v>0</v>
      </c>
      <c r="J145" t="n">
        <v>11979</v>
      </c>
      <c r="K145" t="n">
        <v>0</v>
      </c>
      <c r="L145">
        <f>MIN(F145,J145)</f>
        <v/>
      </c>
      <c r="M145">
        <f>MIN(K145,MAX(0,F145-(J145-K145)))</f>
        <v/>
      </c>
    </row>
    <row r="146">
      <c r="A146" t="inlineStr">
        <is>
          <t>NORTHBAY-FAB</t>
        </is>
      </c>
      <c r="B146" t="inlineStr">
        <is>
          <t>2026-10-12</t>
        </is>
      </c>
      <c r="C146" t="n">
        <v>7</v>
      </c>
      <c r="D146" t="n">
        <v>0</v>
      </c>
      <c r="E146" t="n">
        <v>1</v>
      </c>
      <c r="F146" t="n">
        <v>21891</v>
      </c>
      <c r="G146" t="n">
        <v>0</v>
      </c>
      <c r="H146" t="n">
        <v>11262</v>
      </c>
      <c r="I146" t="n">
        <v>0</v>
      </c>
      <c r="J146" t="n">
        <v>11262</v>
      </c>
      <c r="K146" t="n">
        <v>0</v>
      </c>
      <c r="L146">
        <f>MIN(F146,J146)</f>
        <v/>
      </c>
      <c r="M146">
        <f>MIN(K146,MAX(0,F146-(J146-K146)))</f>
        <v/>
      </c>
    </row>
    <row r="147">
      <c r="A147" t="inlineStr">
        <is>
          <t>NORTHBAY-FAB</t>
        </is>
      </c>
      <c r="B147" t="inlineStr">
        <is>
          <t>2026-10-12</t>
        </is>
      </c>
      <c r="C147" t="n">
        <v>7</v>
      </c>
      <c r="D147" t="n">
        <v>1</v>
      </c>
      <c r="E147" t="n">
        <v>1</v>
      </c>
      <c r="F147" t="n">
        <v>21891</v>
      </c>
      <c r="G147" t="n">
        <v>0</v>
      </c>
      <c r="H147" t="n">
        <v>10858</v>
      </c>
      <c r="I147" t="n">
        <v>0</v>
      </c>
      <c r="J147" t="n">
        <v>10858</v>
      </c>
      <c r="K147" t="n">
        <v>0</v>
      </c>
      <c r="L147">
        <f>MIN(F147,J147)</f>
        <v/>
      </c>
      <c r="M147">
        <f>MIN(K147,MAX(0,F147-(J147-K147)))</f>
        <v/>
      </c>
    </row>
    <row r="148">
      <c r="A148" t="inlineStr">
        <is>
          <t>NORTHBAY-FAB</t>
        </is>
      </c>
      <c r="B148" t="inlineStr">
        <is>
          <t>2026-10-12</t>
        </is>
      </c>
      <c r="C148" t="n">
        <v>7</v>
      </c>
      <c r="D148" t="n">
        <v>2</v>
      </c>
      <c r="E148" t="n">
        <v>1</v>
      </c>
      <c r="F148" t="n">
        <v>21891</v>
      </c>
      <c r="G148" t="n">
        <v>0</v>
      </c>
      <c r="H148" t="n">
        <v>10464</v>
      </c>
      <c r="I148" t="n">
        <v>0</v>
      </c>
      <c r="J148" t="n">
        <v>10464</v>
      </c>
      <c r="K148" t="n">
        <v>0</v>
      </c>
      <c r="L148">
        <f>MIN(F148,J148)</f>
        <v/>
      </c>
      <c r="M148">
        <f>MIN(K148,MAX(0,F148-(J148-K148)))</f>
        <v/>
      </c>
    </row>
    <row r="149">
      <c r="A149" t="inlineStr">
        <is>
          <t>NORTHBAY-FAB</t>
        </is>
      </c>
      <c r="B149" t="inlineStr">
        <is>
          <t>2026-10-12</t>
        </is>
      </c>
      <c r="C149" t="n">
        <v>7</v>
      </c>
      <c r="D149" t="n">
        <v>3</v>
      </c>
      <c r="E149" t="n">
        <v>1</v>
      </c>
      <c r="F149" t="n">
        <v>21891</v>
      </c>
      <c r="G149" t="n">
        <v>0</v>
      </c>
      <c r="H149" t="n">
        <v>11779</v>
      </c>
      <c r="I149" t="n">
        <v>0</v>
      </c>
      <c r="J149" t="n">
        <v>11779</v>
      </c>
      <c r="K149" t="n">
        <v>0</v>
      </c>
      <c r="L149">
        <f>MIN(F149,J149)</f>
        <v/>
      </c>
      <c r="M149">
        <f>MIN(K149,MAX(0,F149-(J149-K149)))</f>
        <v/>
      </c>
    </row>
    <row r="150">
      <c r="A150" t="inlineStr">
        <is>
          <t>NORTHBAY-FAB</t>
        </is>
      </c>
      <c r="B150" t="inlineStr">
        <is>
          <t>2026-10-12</t>
        </is>
      </c>
      <c r="C150" t="n">
        <v>7</v>
      </c>
      <c r="D150" t="n">
        <v>4</v>
      </c>
      <c r="E150" t="n">
        <v>1</v>
      </c>
      <c r="F150" t="n">
        <v>21891</v>
      </c>
      <c r="G150" t="n">
        <v>0</v>
      </c>
      <c r="H150" t="n">
        <v>12600</v>
      </c>
      <c r="I150" t="n">
        <v>0</v>
      </c>
      <c r="J150" t="n">
        <v>12600</v>
      </c>
      <c r="K150" t="n">
        <v>0</v>
      </c>
      <c r="L150">
        <f>MIN(F150,J150)</f>
        <v/>
      </c>
      <c r="M150">
        <f>MIN(K150,MAX(0,F150-(J150-K150)))</f>
        <v/>
      </c>
    </row>
    <row r="151">
      <c r="A151" t="inlineStr">
        <is>
          <t>NORTHBAY-FAB</t>
        </is>
      </c>
      <c r="B151" t="inlineStr">
        <is>
          <t>2026-10-12</t>
        </is>
      </c>
      <c r="C151" t="n">
        <v>7</v>
      </c>
      <c r="D151" t="n">
        <v>5</v>
      </c>
      <c r="E151" t="n">
        <v>1</v>
      </c>
      <c r="F151" t="n">
        <v>21891</v>
      </c>
      <c r="G151" t="n">
        <v>22</v>
      </c>
      <c r="H151" t="n">
        <v>12182</v>
      </c>
      <c r="I151" t="n">
        <v>0</v>
      </c>
      <c r="J151" t="n">
        <v>12204</v>
      </c>
      <c r="K151" t="n">
        <v>0</v>
      </c>
      <c r="L151">
        <f>MIN(F151,J151)</f>
        <v/>
      </c>
      <c r="M151">
        <f>MIN(K151,MAX(0,F151-(J151-K151)))</f>
        <v/>
      </c>
    </row>
    <row r="152">
      <c r="A152" t="inlineStr">
        <is>
          <t>NORTHBAY-FAB</t>
        </is>
      </c>
      <c r="B152" t="inlineStr">
        <is>
          <t>2026-10-12</t>
        </is>
      </c>
      <c r="C152" t="n">
        <v>7</v>
      </c>
      <c r="D152" t="n">
        <v>6</v>
      </c>
      <c r="E152" t="n">
        <v>1</v>
      </c>
      <c r="F152" t="n">
        <v>21891</v>
      </c>
      <c r="G152" t="n">
        <v>918</v>
      </c>
      <c r="H152" t="n">
        <v>11428</v>
      </c>
      <c r="I152" t="n">
        <v>0</v>
      </c>
      <c r="J152" t="n">
        <v>12346</v>
      </c>
      <c r="K152" t="n">
        <v>0</v>
      </c>
      <c r="L152">
        <f>MIN(F152,J152)</f>
        <v/>
      </c>
      <c r="M152">
        <f>MIN(K152,MAX(0,F152-(J152-K152)))</f>
        <v/>
      </c>
    </row>
    <row r="153">
      <c r="A153" t="inlineStr">
        <is>
          <t>NORTHBAY-FAB</t>
        </is>
      </c>
      <c r="B153" t="inlineStr">
        <is>
          <t>2026-10-12</t>
        </is>
      </c>
      <c r="C153" t="n">
        <v>7</v>
      </c>
      <c r="D153" t="n">
        <v>7</v>
      </c>
      <c r="E153" t="n">
        <v>1</v>
      </c>
      <c r="F153" t="n">
        <v>21891</v>
      </c>
      <c r="G153" t="n">
        <v>6197</v>
      </c>
      <c r="H153" t="n">
        <v>10203</v>
      </c>
      <c r="I153" t="n">
        <v>0</v>
      </c>
      <c r="J153" t="n">
        <v>16400</v>
      </c>
      <c r="K153" t="n">
        <v>0</v>
      </c>
      <c r="L153">
        <f>MIN(F153,J153)</f>
        <v/>
      </c>
      <c r="M153">
        <f>MIN(K153,MAX(0,F153-(J153-K153)))</f>
        <v/>
      </c>
    </row>
    <row r="154">
      <c r="A154" t="inlineStr">
        <is>
          <t>NORTHBAY-FAB</t>
        </is>
      </c>
      <c r="B154" t="inlineStr">
        <is>
          <t>2026-10-12</t>
        </is>
      </c>
      <c r="C154" t="n">
        <v>7</v>
      </c>
      <c r="D154" t="n">
        <v>8</v>
      </c>
      <c r="E154" t="n">
        <v>1</v>
      </c>
      <c r="F154" t="n">
        <v>21891</v>
      </c>
      <c r="G154" t="n">
        <v>13693</v>
      </c>
      <c r="H154" t="n">
        <v>8560</v>
      </c>
      <c r="I154" t="n">
        <v>0</v>
      </c>
      <c r="J154" t="n">
        <v>22253</v>
      </c>
      <c r="K154" t="n">
        <v>0</v>
      </c>
      <c r="L154">
        <f>MIN(F154,J154)</f>
        <v/>
      </c>
      <c r="M154">
        <f>MIN(K154,MAX(0,F154-(J154-K154)))</f>
        <v/>
      </c>
    </row>
    <row r="155">
      <c r="A155" t="inlineStr">
        <is>
          <t>NORTHBAY-FAB</t>
        </is>
      </c>
      <c r="B155" t="inlineStr">
        <is>
          <t>2026-10-12</t>
        </is>
      </c>
      <c r="C155" t="n">
        <v>7</v>
      </c>
      <c r="D155" t="n">
        <v>9</v>
      </c>
      <c r="E155" t="n">
        <v>1</v>
      </c>
      <c r="F155" t="n">
        <v>21891</v>
      </c>
      <c r="G155" t="n">
        <v>19568</v>
      </c>
      <c r="H155" t="n">
        <v>7559</v>
      </c>
      <c r="I155" t="n">
        <v>0</v>
      </c>
      <c r="J155" t="n">
        <v>27127</v>
      </c>
      <c r="K155" t="n">
        <v>0</v>
      </c>
      <c r="L155">
        <f>MIN(F155,J155)</f>
        <v/>
      </c>
      <c r="M155">
        <f>MIN(K155,MAX(0,F155-(J155-K155)))</f>
        <v/>
      </c>
    </row>
    <row r="156">
      <c r="A156" t="inlineStr">
        <is>
          <t>NORTHBAY-FAB</t>
        </is>
      </c>
      <c r="B156" t="inlineStr">
        <is>
          <t>2026-10-12</t>
        </is>
      </c>
      <c r="C156" t="n">
        <v>7</v>
      </c>
      <c r="D156" t="n">
        <v>10</v>
      </c>
      <c r="E156" t="n">
        <v>1</v>
      </c>
      <c r="F156" t="n">
        <v>21891</v>
      </c>
      <c r="G156" t="n">
        <v>23087</v>
      </c>
      <c r="H156" t="n">
        <v>6532</v>
      </c>
      <c r="I156" t="n">
        <v>0</v>
      </c>
      <c r="J156" t="n">
        <v>29619</v>
      </c>
      <c r="K156" t="n">
        <v>0</v>
      </c>
      <c r="L156">
        <f>MIN(F156,J156)</f>
        <v/>
      </c>
      <c r="M156">
        <f>MIN(K156,MAX(0,F156-(J156-K156)))</f>
        <v/>
      </c>
    </row>
    <row r="157">
      <c r="A157" t="inlineStr">
        <is>
          <t>NORTHBAY-FAB</t>
        </is>
      </c>
      <c r="B157" t="inlineStr">
        <is>
          <t>2026-10-12</t>
        </is>
      </c>
      <c r="C157" t="n">
        <v>7</v>
      </c>
      <c r="D157" t="n">
        <v>11</v>
      </c>
      <c r="E157" t="n">
        <v>1</v>
      </c>
      <c r="F157" t="n">
        <v>21891</v>
      </c>
      <c r="G157" t="n">
        <v>25025</v>
      </c>
      <c r="H157" t="n">
        <v>5664</v>
      </c>
      <c r="I157" t="n">
        <v>0</v>
      </c>
      <c r="J157" t="n">
        <v>30689</v>
      </c>
      <c r="K157" t="n">
        <v>0</v>
      </c>
      <c r="L157">
        <f>MIN(F157,J157)</f>
        <v/>
      </c>
      <c r="M157">
        <f>MIN(K157,MAX(0,F157-(J157-K157)))</f>
        <v/>
      </c>
    </row>
    <row r="158">
      <c r="A158" t="inlineStr">
        <is>
          <t>NORTHBAY-FAB</t>
        </is>
      </c>
      <c r="B158" t="inlineStr">
        <is>
          <t>2026-10-12</t>
        </is>
      </c>
      <c r="C158" t="n">
        <v>7</v>
      </c>
      <c r="D158" t="n">
        <v>12</v>
      </c>
      <c r="E158" t="n">
        <v>1</v>
      </c>
      <c r="F158" t="n">
        <v>21891</v>
      </c>
      <c r="G158" t="n">
        <v>25063</v>
      </c>
      <c r="H158" t="n">
        <v>5819</v>
      </c>
      <c r="I158" t="n">
        <v>0</v>
      </c>
      <c r="J158" t="n">
        <v>30882</v>
      </c>
      <c r="K158" t="n">
        <v>0</v>
      </c>
      <c r="L158">
        <f>MIN(F158,J158)</f>
        <v/>
      </c>
      <c r="M158">
        <f>MIN(K158,MAX(0,F158-(J158-K158)))</f>
        <v/>
      </c>
    </row>
    <row r="159">
      <c r="A159" t="inlineStr">
        <is>
          <t>NORTHBAY-FAB</t>
        </is>
      </c>
      <c r="B159" t="inlineStr">
        <is>
          <t>2026-10-12</t>
        </is>
      </c>
      <c r="C159" t="n">
        <v>7</v>
      </c>
      <c r="D159" t="n">
        <v>13</v>
      </c>
      <c r="E159" t="n">
        <v>1</v>
      </c>
      <c r="F159" t="n">
        <v>21891</v>
      </c>
      <c r="G159" t="n">
        <v>23416</v>
      </c>
      <c r="H159" t="n">
        <v>6724</v>
      </c>
      <c r="I159" t="n">
        <v>0</v>
      </c>
      <c r="J159" t="n">
        <v>30140</v>
      </c>
      <c r="K159" t="n">
        <v>0</v>
      </c>
      <c r="L159">
        <f>MIN(F159,J159)</f>
        <v/>
      </c>
      <c r="M159">
        <f>MIN(K159,MAX(0,F159-(J159-K159)))</f>
        <v/>
      </c>
    </row>
    <row r="160">
      <c r="A160" t="inlineStr">
        <is>
          <t>NORTHBAY-FAB</t>
        </is>
      </c>
      <c r="B160" t="inlineStr">
        <is>
          <t>2026-10-12</t>
        </is>
      </c>
      <c r="C160" t="n">
        <v>7</v>
      </c>
      <c r="D160" t="n">
        <v>14</v>
      </c>
      <c r="E160" t="n">
        <v>1</v>
      </c>
      <c r="F160" t="n">
        <v>21891</v>
      </c>
      <c r="G160" t="n">
        <v>19845</v>
      </c>
      <c r="H160" t="n">
        <v>7905</v>
      </c>
      <c r="I160" t="n">
        <v>0</v>
      </c>
      <c r="J160" t="n">
        <v>27750</v>
      </c>
      <c r="K160" t="n">
        <v>0</v>
      </c>
      <c r="L160">
        <f>MIN(F160,J160)</f>
        <v/>
      </c>
      <c r="M160">
        <f>MIN(K160,MAX(0,F160-(J160-K160)))</f>
        <v/>
      </c>
    </row>
    <row r="161">
      <c r="A161" t="inlineStr">
        <is>
          <t>NORTHBAY-FAB</t>
        </is>
      </c>
      <c r="B161" t="inlineStr">
        <is>
          <t>2026-10-12</t>
        </is>
      </c>
      <c r="C161" t="n">
        <v>7</v>
      </c>
      <c r="D161" t="n">
        <v>15</v>
      </c>
      <c r="E161" t="n">
        <v>1</v>
      </c>
      <c r="F161" t="n">
        <v>21891</v>
      </c>
      <c r="G161" t="n">
        <v>13970</v>
      </c>
      <c r="H161" t="n">
        <v>8919</v>
      </c>
      <c r="I161" t="n">
        <v>0</v>
      </c>
      <c r="J161" t="n">
        <v>22889</v>
      </c>
      <c r="K161" t="n">
        <v>0</v>
      </c>
      <c r="L161">
        <f>MIN(F161,J161)</f>
        <v/>
      </c>
      <c r="M161">
        <f>MIN(K161,MAX(0,F161-(J161-K161)))</f>
        <v/>
      </c>
    </row>
    <row r="162">
      <c r="A162" t="inlineStr">
        <is>
          <t>NORTHBAY-FAB</t>
        </is>
      </c>
      <c r="B162" t="inlineStr">
        <is>
          <t>2026-10-12</t>
        </is>
      </c>
      <c r="C162" t="n">
        <v>7</v>
      </c>
      <c r="D162" t="n">
        <v>16</v>
      </c>
      <c r="E162" t="n">
        <v>1</v>
      </c>
      <c r="F162" t="n">
        <v>21891</v>
      </c>
      <c r="G162" t="n">
        <v>6887</v>
      </c>
      <c r="H162" t="n">
        <v>9770</v>
      </c>
      <c r="I162" t="n">
        <v>0</v>
      </c>
      <c r="J162" t="n">
        <v>16657</v>
      </c>
      <c r="K162" t="n">
        <v>0</v>
      </c>
      <c r="L162">
        <f>MIN(F162,J162)</f>
        <v/>
      </c>
      <c r="M162">
        <f>MIN(K162,MAX(0,F162-(J162-K162)))</f>
        <v/>
      </c>
    </row>
    <row r="163">
      <c r="A163" t="inlineStr">
        <is>
          <t>NORTHBAY-FAB</t>
        </is>
      </c>
      <c r="B163" t="inlineStr">
        <is>
          <t>2026-10-12</t>
        </is>
      </c>
      <c r="C163" t="n">
        <v>7</v>
      </c>
      <c r="D163" t="n">
        <v>17</v>
      </c>
      <c r="E163" t="n">
        <v>1</v>
      </c>
      <c r="F163" t="n">
        <v>21891</v>
      </c>
      <c r="G163" t="n">
        <v>1420</v>
      </c>
      <c r="H163" t="n">
        <v>9215</v>
      </c>
      <c r="I163" t="n">
        <v>0</v>
      </c>
      <c r="J163" t="n">
        <v>10635</v>
      </c>
      <c r="K163" t="n">
        <v>0</v>
      </c>
      <c r="L163">
        <f>MIN(F163,J163)</f>
        <v/>
      </c>
      <c r="M163">
        <f>MIN(K163,MAX(0,F163-(J163-K163)))</f>
        <v/>
      </c>
    </row>
    <row r="164">
      <c r="A164" t="inlineStr">
        <is>
          <t>NORTHBAY-FAB</t>
        </is>
      </c>
      <c r="B164" t="inlineStr">
        <is>
          <t>2026-10-12</t>
        </is>
      </c>
      <c r="C164" t="n">
        <v>7</v>
      </c>
      <c r="D164" t="n">
        <v>18</v>
      </c>
      <c r="E164" t="n">
        <v>1</v>
      </c>
      <c r="F164" t="n">
        <v>21891</v>
      </c>
      <c r="G164" t="n">
        <v>0</v>
      </c>
      <c r="H164" t="n">
        <v>8461</v>
      </c>
      <c r="I164" t="n">
        <v>0</v>
      </c>
      <c r="J164" t="n">
        <v>8461</v>
      </c>
      <c r="K164" t="n">
        <v>0</v>
      </c>
      <c r="L164">
        <f>MIN(F164,J164)</f>
        <v/>
      </c>
      <c r="M164">
        <f>MIN(K164,MAX(0,F164-(J164-K164)))</f>
        <v/>
      </c>
    </row>
    <row r="165">
      <c r="A165" t="inlineStr">
        <is>
          <t>NORTHBAY-FAB</t>
        </is>
      </c>
      <c r="B165" t="inlineStr">
        <is>
          <t>2026-10-12</t>
        </is>
      </c>
      <c r="C165" t="n">
        <v>7</v>
      </c>
      <c r="D165" t="n">
        <v>19</v>
      </c>
      <c r="E165" t="n">
        <v>1</v>
      </c>
      <c r="F165" t="n">
        <v>21891</v>
      </c>
      <c r="G165" t="n">
        <v>0</v>
      </c>
      <c r="H165" t="n">
        <v>7136</v>
      </c>
      <c r="I165" t="n">
        <v>0</v>
      </c>
      <c r="J165" t="n">
        <v>7136</v>
      </c>
      <c r="K165" t="n">
        <v>0</v>
      </c>
      <c r="L165">
        <f>MIN(F165,J165)</f>
        <v/>
      </c>
      <c r="M165">
        <f>MIN(K165,MAX(0,F165-(J165-K165)))</f>
        <v/>
      </c>
    </row>
    <row r="166">
      <c r="A166" t="inlineStr">
        <is>
          <t>NORTHBAY-FAB</t>
        </is>
      </c>
      <c r="B166" t="inlineStr">
        <is>
          <t>2026-10-12</t>
        </is>
      </c>
      <c r="C166" t="n">
        <v>7</v>
      </c>
      <c r="D166" t="n">
        <v>20</v>
      </c>
      <c r="E166" t="n">
        <v>1</v>
      </c>
      <c r="F166" t="n">
        <v>21891</v>
      </c>
      <c r="G166" t="n">
        <v>0</v>
      </c>
      <c r="H166" t="n">
        <v>5264</v>
      </c>
      <c r="I166" t="n">
        <v>0</v>
      </c>
      <c r="J166" t="n">
        <v>5264</v>
      </c>
      <c r="K166" t="n">
        <v>0</v>
      </c>
      <c r="L166">
        <f>MIN(F166,J166)</f>
        <v/>
      </c>
      <c r="M166">
        <f>MIN(K166,MAX(0,F166-(J166-K166)))</f>
        <v/>
      </c>
    </row>
    <row r="167">
      <c r="A167" t="inlineStr">
        <is>
          <t>NORTHBAY-FAB</t>
        </is>
      </c>
      <c r="B167" t="inlineStr">
        <is>
          <t>2026-10-12</t>
        </is>
      </c>
      <c r="C167" t="n">
        <v>7</v>
      </c>
      <c r="D167" t="n">
        <v>21</v>
      </c>
      <c r="E167" t="n">
        <v>1</v>
      </c>
      <c r="F167" t="n">
        <v>21891</v>
      </c>
      <c r="G167" t="n">
        <v>0</v>
      </c>
      <c r="H167" t="n">
        <v>3556</v>
      </c>
      <c r="I167" t="n">
        <v>0</v>
      </c>
      <c r="J167" t="n">
        <v>3556</v>
      </c>
      <c r="K167" t="n">
        <v>0</v>
      </c>
      <c r="L167">
        <f>MIN(F167,J167)</f>
        <v/>
      </c>
      <c r="M167">
        <f>MIN(K167,MAX(0,F167-(J167-K167)))</f>
        <v/>
      </c>
    </row>
    <row r="168">
      <c r="A168" t="inlineStr">
        <is>
          <t>NORTHBAY-FAB</t>
        </is>
      </c>
      <c r="B168" t="inlineStr">
        <is>
          <t>2026-10-12</t>
        </is>
      </c>
      <c r="C168" t="n">
        <v>7</v>
      </c>
      <c r="D168" t="n">
        <v>22</v>
      </c>
      <c r="E168" t="n">
        <v>1</v>
      </c>
      <c r="F168" t="n">
        <v>21891</v>
      </c>
      <c r="G168" t="n">
        <v>0</v>
      </c>
      <c r="H168" t="n">
        <v>2217</v>
      </c>
      <c r="I168" t="n">
        <v>0</v>
      </c>
      <c r="J168" t="n">
        <v>2217</v>
      </c>
      <c r="K168" t="n">
        <v>0</v>
      </c>
      <c r="L168">
        <f>MIN(F168,J168)</f>
        <v/>
      </c>
      <c r="M168">
        <f>MIN(K168,MAX(0,F168-(J168-K168)))</f>
        <v/>
      </c>
    </row>
    <row r="169">
      <c r="A169" t="inlineStr">
        <is>
          <t>NORTHBAY-FAB</t>
        </is>
      </c>
      <c r="B169" t="inlineStr">
        <is>
          <t>2026-10-12</t>
        </is>
      </c>
      <c r="C169" t="n">
        <v>7</v>
      </c>
      <c r="D169" t="n">
        <v>23</v>
      </c>
      <c r="E169" t="n">
        <v>1</v>
      </c>
      <c r="F169" t="n">
        <v>21891</v>
      </c>
      <c r="G169" t="n">
        <v>0</v>
      </c>
      <c r="H169" t="n">
        <v>1546</v>
      </c>
      <c r="I169" t="n">
        <v>0</v>
      </c>
      <c r="J169" t="n">
        <v>1546</v>
      </c>
      <c r="K169" t="n">
        <v>0</v>
      </c>
      <c r="L169">
        <f>MIN(F169,J169)</f>
        <v/>
      </c>
      <c r="M169">
        <f>MIN(K169,MAX(0,F169-(J169-K169)))</f>
        <v/>
      </c>
    </row>
    <row r="170">
      <c r="A170" t="inlineStr">
        <is>
          <t>HARBOR-OFFICE</t>
        </is>
      </c>
      <c r="B170" t="inlineStr">
        <is>
          <t>2026-10-06</t>
        </is>
      </c>
      <c r="C170" t="n">
        <v>1</v>
      </c>
      <c r="D170" t="n">
        <v>0</v>
      </c>
      <c r="E170" t="n">
        <v>2</v>
      </c>
      <c r="F170" t="n">
        <v>1004</v>
      </c>
      <c r="G170" t="n">
        <v>0</v>
      </c>
      <c r="H170" t="n">
        <v>0</v>
      </c>
      <c r="I170" t="n">
        <v>1295</v>
      </c>
      <c r="J170" t="n">
        <v>1295</v>
      </c>
      <c r="K170" t="n">
        <v>1295</v>
      </c>
      <c r="L170">
        <f>MIN(F170,J170)</f>
        <v/>
      </c>
      <c r="M170">
        <f>MIN(K170,MAX(0,F170-(J170-K170)))</f>
        <v/>
      </c>
    </row>
    <row r="171">
      <c r="A171" t="inlineStr">
        <is>
          <t>HARBOR-OFFICE</t>
        </is>
      </c>
      <c r="B171" t="inlineStr">
        <is>
          <t>2026-10-06</t>
        </is>
      </c>
      <c r="C171" t="n">
        <v>1</v>
      </c>
      <c r="D171" t="n">
        <v>1</v>
      </c>
      <c r="E171" t="n">
        <v>2</v>
      </c>
      <c r="F171" t="n">
        <v>1004</v>
      </c>
      <c r="G171" t="n">
        <v>0</v>
      </c>
      <c r="H171" t="n">
        <v>0</v>
      </c>
      <c r="I171" t="n">
        <v>1253</v>
      </c>
      <c r="J171" t="n">
        <v>1253</v>
      </c>
      <c r="K171" t="n">
        <v>1253</v>
      </c>
      <c r="L171">
        <f>MIN(F171,J171)</f>
        <v/>
      </c>
      <c r="M171">
        <f>MIN(K171,MAX(0,F171-(J171-K171)))</f>
        <v/>
      </c>
    </row>
    <row r="172">
      <c r="A172" t="inlineStr">
        <is>
          <t>HARBOR-OFFICE</t>
        </is>
      </c>
      <c r="B172" t="inlineStr">
        <is>
          <t>2026-10-06</t>
        </is>
      </c>
      <c r="C172" t="n">
        <v>1</v>
      </c>
      <c r="D172" t="n">
        <v>2</v>
      </c>
      <c r="E172" t="n">
        <v>2</v>
      </c>
      <c r="F172" t="n">
        <v>1004</v>
      </c>
      <c r="G172" t="n">
        <v>0</v>
      </c>
      <c r="H172" t="n">
        <v>0</v>
      </c>
      <c r="I172" t="n">
        <v>1256</v>
      </c>
      <c r="J172" t="n">
        <v>1256</v>
      </c>
      <c r="K172" t="n">
        <v>1256</v>
      </c>
      <c r="L172">
        <f>MIN(F172,J172)</f>
        <v/>
      </c>
      <c r="M172">
        <f>MIN(K172,MAX(0,F172-(J172-K172)))</f>
        <v/>
      </c>
    </row>
    <row r="173">
      <c r="A173" t="inlineStr">
        <is>
          <t>HARBOR-OFFICE</t>
        </is>
      </c>
      <c r="B173" t="inlineStr">
        <is>
          <t>2026-10-06</t>
        </is>
      </c>
      <c r="C173" t="n">
        <v>1</v>
      </c>
      <c r="D173" t="n">
        <v>3</v>
      </c>
      <c r="E173" t="n">
        <v>2</v>
      </c>
      <c r="F173" t="n">
        <v>1004</v>
      </c>
      <c r="G173" t="n">
        <v>0</v>
      </c>
      <c r="H173" t="n">
        <v>0</v>
      </c>
      <c r="I173" t="n">
        <v>1231</v>
      </c>
      <c r="J173" t="n">
        <v>1231</v>
      </c>
      <c r="K173" t="n">
        <v>1231</v>
      </c>
      <c r="L173">
        <f>MIN(F173,J173)</f>
        <v/>
      </c>
      <c r="M173">
        <f>MIN(K173,MAX(0,F173-(J173-K173)))</f>
        <v/>
      </c>
    </row>
    <row r="174">
      <c r="A174" t="inlineStr">
        <is>
          <t>HARBOR-OFFICE</t>
        </is>
      </c>
      <c r="B174" t="inlineStr">
        <is>
          <t>2026-10-06</t>
        </is>
      </c>
      <c r="C174" t="n">
        <v>1</v>
      </c>
      <c r="D174" t="n">
        <v>4</v>
      </c>
      <c r="E174" t="n">
        <v>2</v>
      </c>
      <c r="F174" t="n">
        <v>1004</v>
      </c>
      <c r="G174" t="n">
        <v>0</v>
      </c>
      <c r="H174" t="n">
        <v>0</v>
      </c>
      <c r="I174" t="n">
        <v>1114</v>
      </c>
      <c r="J174" t="n">
        <v>1114</v>
      </c>
      <c r="K174" t="n">
        <v>1114</v>
      </c>
      <c r="L174">
        <f>MIN(F174,J174)</f>
        <v/>
      </c>
      <c r="M174">
        <f>MIN(K174,MAX(0,F174-(J174-K174)))</f>
        <v/>
      </c>
    </row>
    <row r="175">
      <c r="A175" t="inlineStr">
        <is>
          <t>HARBOR-OFFICE</t>
        </is>
      </c>
      <c r="B175" t="inlineStr">
        <is>
          <t>2026-10-06</t>
        </is>
      </c>
      <c r="C175" t="n">
        <v>1</v>
      </c>
      <c r="D175" t="n">
        <v>5</v>
      </c>
      <c r="E175" t="n">
        <v>2</v>
      </c>
      <c r="F175" t="n">
        <v>1004</v>
      </c>
      <c r="G175" t="n">
        <v>8</v>
      </c>
      <c r="H175" t="n">
        <v>0</v>
      </c>
      <c r="I175" t="n">
        <v>1023</v>
      </c>
      <c r="J175" t="n">
        <v>1031</v>
      </c>
      <c r="K175" t="n">
        <v>1023</v>
      </c>
      <c r="L175">
        <f>MIN(F175,J175)</f>
        <v/>
      </c>
      <c r="M175">
        <f>MIN(K175,MAX(0,F175-(J175-K175)))</f>
        <v/>
      </c>
    </row>
    <row r="176">
      <c r="A176" t="inlineStr">
        <is>
          <t>HARBOR-OFFICE</t>
        </is>
      </c>
      <c r="B176" t="inlineStr">
        <is>
          <t>2026-10-06</t>
        </is>
      </c>
      <c r="C176" t="n">
        <v>1</v>
      </c>
      <c r="D176" t="n">
        <v>6</v>
      </c>
      <c r="E176" t="n">
        <v>2</v>
      </c>
      <c r="F176" t="n">
        <v>1004</v>
      </c>
      <c r="G176" t="n">
        <v>122</v>
      </c>
      <c r="H176" t="n">
        <v>0</v>
      </c>
      <c r="I176" t="n">
        <v>978</v>
      </c>
      <c r="J176" t="n">
        <v>1100</v>
      </c>
      <c r="K176" t="n">
        <v>978</v>
      </c>
      <c r="L176">
        <f>MIN(F176,J176)</f>
        <v/>
      </c>
      <c r="M176">
        <f>MIN(K176,MAX(0,F176-(J176-K176)))</f>
        <v/>
      </c>
    </row>
    <row r="177">
      <c r="A177" t="inlineStr">
        <is>
          <t>HARBOR-OFFICE</t>
        </is>
      </c>
      <c r="B177" t="inlineStr">
        <is>
          <t>2026-10-06</t>
        </is>
      </c>
      <c r="C177" t="n">
        <v>1</v>
      </c>
      <c r="D177" t="n">
        <v>7</v>
      </c>
      <c r="E177" t="n">
        <v>2</v>
      </c>
      <c r="F177" t="n">
        <v>1004</v>
      </c>
      <c r="G177" t="n">
        <v>889</v>
      </c>
      <c r="H177" t="n">
        <v>0</v>
      </c>
      <c r="I177" t="n">
        <v>976</v>
      </c>
      <c r="J177" t="n">
        <v>1865</v>
      </c>
      <c r="K177" t="n">
        <v>976</v>
      </c>
      <c r="L177">
        <f>MIN(F177,J177)</f>
        <v/>
      </c>
      <c r="M177">
        <f>MIN(K177,MAX(0,F177-(J177-K177)))</f>
        <v/>
      </c>
    </row>
    <row r="178">
      <c r="A178" t="inlineStr">
        <is>
          <t>HARBOR-OFFICE</t>
        </is>
      </c>
      <c r="B178" t="inlineStr">
        <is>
          <t>2026-10-06</t>
        </is>
      </c>
      <c r="C178" t="n">
        <v>1</v>
      </c>
      <c r="D178" t="n">
        <v>8</v>
      </c>
      <c r="E178" t="n">
        <v>2</v>
      </c>
      <c r="F178" t="n">
        <v>5019</v>
      </c>
      <c r="G178" t="n">
        <v>2148</v>
      </c>
      <c r="H178" t="n">
        <v>0</v>
      </c>
      <c r="I178" t="n">
        <v>951</v>
      </c>
      <c r="J178" t="n">
        <v>3099</v>
      </c>
      <c r="K178" t="n">
        <v>951</v>
      </c>
      <c r="L178">
        <f>MIN(F178,J178)</f>
        <v/>
      </c>
      <c r="M178">
        <f>MIN(K178,MAX(0,F178-(J178-K178)))</f>
        <v/>
      </c>
    </row>
    <row r="179">
      <c r="A179" t="inlineStr">
        <is>
          <t>HARBOR-OFFICE</t>
        </is>
      </c>
      <c r="B179" t="inlineStr">
        <is>
          <t>2026-10-06</t>
        </is>
      </c>
      <c r="C179" t="n">
        <v>1</v>
      </c>
      <c r="D179" t="n">
        <v>9</v>
      </c>
      <c r="E179" t="n">
        <v>2</v>
      </c>
      <c r="F179" t="n">
        <v>5019</v>
      </c>
      <c r="G179" t="n">
        <v>3331</v>
      </c>
      <c r="H179" t="n">
        <v>0</v>
      </c>
      <c r="I179" t="n">
        <v>930</v>
      </c>
      <c r="J179" t="n">
        <v>4261</v>
      </c>
      <c r="K179" t="n">
        <v>930</v>
      </c>
      <c r="L179">
        <f>MIN(F179,J179)</f>
        <v/>
      </c>
      <c r="M179">
        <f>MIN(K179,MAX(0,F179-(J179-K179)))</f>
        <v/>
      </c>
    </row>
    <row r="180">
      <c r="A180" t="inlineStr">
        <is>
          <t>HARBOR-OFFICE</t>
        </is>
      </c>
      <c r="B180" t="inlineStr">
        <is>
          <t>2026-10-06</t>
        </is>
      </c>
      <c r="C180" t="n">
        <v>1</v>
      </c>
      <c r="D180" t="n">
        <v>10</v>
      </c>
      <c r="E180" t="n">
        <v>2</v>
      </c>
      <c r="F180" t="n">
        <v>5019</v>
      </c>
      <c r="G180" t="n">
        <v>3872</v>
      </c>
      <c r="H180" t="n">
        <v>0</v>
      </c>
      <c r="I180" t="n">
        <v>932</v>
      </c>
      <c r="J180" t="n">
        <v>4804</v>
      </c>
      <c r="K180" t="n">
        <v>932</v>
      </c>
      <c r="L180">
        <f>MIN(F180,J180)</f>
        <v/>
      </c>
      <c r="M180">
        <f>MIN(K180,MAX(0,F180-(J180-K180)))</f>
        <v/>
      </c>
    </row>
    <row r="181">
      <c r="A181" t="inlineStr">
        <is>
          <t>HARBOR-OFFICE</t>
        </is>
      </c>
      <c r="B181" t="inlineStr">
        <is>
          <t>2026-10-06</t>
        </is>
      </c>
      <c r="C181" t="n">
        <v>1</v>
      </c>
      <c r="D181" t="n">
        <v>11</v>
      </c>
      <c r="E181" t="n">
        <v>2</v>
      </c>
      <c r="F181" t="n">
        <v>5019</v>
      </c>
      <c r="G181" t="n">
        <v>3875</v>
      </c>
      <c r="H181" t="n">
        <v>0</v>
      </c>
      <c r="I181" t="n">
        <v>923</v>
      </c>
      <c r="J181" t="n">
        <v>4798</v>
      </c>
      <c r="K181" t="n">
        <v>923</v>
      </c>
      <c r="L181">
        <f>MIN(F181,J181)</f>
        <v/>
      </c>
      <c r="M181">
        <f>MIN(K181,MAX(0,F181-(J181-K181)))</f>
        <v/>
      </c>
    </row>
    <row r="182">
      <c r="A182" t="inlineStr">
        <is>
          <t>HARBOR-OFFICE</t>
        </is>
      </c>
      <c r="B182" t="inlineStr">
        <is>
          <t>2026-10-06</t>
        </is>
      </c>
      <c r="C182" t="n">
        <v>1</v>
      </c>
      <c r="D182" t="n">
        <v>12</v>
      </c>
      <c r="E182" t="n">
        <v>2</v>
      </c>
      <c r="F182" t="n">
        <v>5019</v>
      </c>
      <c r="G182" t="n">
        <v>3902</v>
      </c>
      <c r="H182" t="n">
        <v>0</v>
      </c>
      <c r="I182" t="n">
        <v>929</v>
      </c>
      <c r="J182" t="n">
        <v>4831</v>
      </c>
      <c r="K182" t="n">
        <v>929</v>
      </c>
      <c r="L182">
        <f>MIN(F182,J182)</f>
        <v/>
      </c>
      <c r="M182">
        <f>MIN(K182,MAX(0,F182-(J182-K182)))</f>
        <v/>
      </c>
    </row>
    <row r="183">
      <c r="A183" t="inlineStr">
        <is>
          <t>HARBOR-OFFICE</t>
        </is>
      </c>
      <c r="B183" t="inlineStr">
        <is>
          <t>2026-10-06</t>
        </is>
      </c>
      <c r="C183" t="n">
        <v>1</v>
      </c>
      <c r="D183" t="n">
        <v>13</v>
      </c>
      <c r="E183" t="n">
        <v>2</v>
      </c>
      <c r="F183" t="n">
        <v>5019</v>
      </c>
      <c r="G183" t="n">
        <v>3600</v>
      </c>
      <c r="H183" t="n">
        <v>0</v>
      </c>
      <c r="I183" t="n">
        <v>925</v>
      </c>
      <c r="J183" t="n">
        <v>4525</v>
      </c>
      <c r="K183" t="n">
        <v>925</v>
      </c>
      <c r="L183">
        <f>MIN(F183,J183)</f>
        <v/>
      </c>
      <c r="M183">
        <f>MIN(K183,MAX(0,F183-(J183-K183)))</f>
        <v/>
      </c>
    </row>
    <row r="184">
      <c r="A184" t="inlineStr">
        <is>
          <t>HARBOR-OFFICE</t>
        </is>
      </c>
      <c r="B184" t="inlineStr">
        <is>
          <t>2026-10-06</t>
        </is>
      </c>
      <c r="C184" t="n">
        <v>1</v>
      </c>
      <c r="D184" t="n">
        <v>14</v>
      </c>
      <c r="E184" t="n">
        <v>2</v>
      </c>
      <c r="F184" t="n">
        <v>5019</v>
      </c>
      <c r="G184" t="n">
        <v>2887</v>
      </c>
      <c r="H184" t="n">
        <v>0</v>
      </c>
      <c r="I184" t="n">
        <v>911</v>
      </c>
      <c r="J184" t="n">
        <v>3798</v>
      </c>
      <c r="K184" t="n">
        <v>911</v>
      </c>
      <c r="L184">
        <f>MIN(F184,J184)</f>
        <v/>
      </c>
      <c r="M184">
        <f>MIN(K184,MAX(0,F184-(J184-K184)))</f>
        <v/>
      </c>
    </row>
    <row r="185">
      <c r="A185" t="inlineStr">
        <is>
          <t>HARBOR-OFFICE</t>
        </is>
      </c>
      <c r="B185" t="inlineStr">
        <is>
          <t>2026-10-06</t>
        </is>
      </c>
      <c r="C185" t="n">
        <v>1</v>
      </c>
      <c r="D185" t="n">
        <v>15</v>
      </c>
      <c r="E185" t="n">
        <v>2</v>
      </c>
      <c r="F185" t="n">
        <v>5019</v>
      </c>
      <c r="G185" t="n">
        <v>2002</v>
      </c>
      <c r="H185" t="n">
        <v>0</v>
      </c>
      <c r="I185" t="n">
        <v>1058</v>
      </c>
      <c r="J185" t="n">
        <v>3060</v>
      </c>
      <c r="K185" t="n">
        <v>1058</v>
      </c>
      <c r="L185">
        <f>MIN(F185,J185)</f>
        <v/>
      </c>
      <c r="M185">
        <f>MIN(K185,MAX(0,F185-(J185-K185)))</f>
        <v/>
      </c>
    </row>
    <row r="186">
      <c r="A186" t="inlineStr">
        <is>
          <t>HARBOR-OFFICE</t>
        </is>
      </c>
      <c r="B186" t="inlineStr">
        <is>
          <t>2026-10-06</t>
        </is>
      </c>
      <c r="C186" t="n">
        <v>1</v>
      </c>
      <c r="D186" t="n">
        <v>16</v>
      </c>
      <c r="E186" t="n">
        <v>2</v>
      </c>
      <c r="F186" t="n">
        <v>5019</v>
      </c>
      <c r="G186" t="n">
        <v>1011</v>
      </c>
      <c r="H186" t="n">
        <v>0</v>
      </c>
      <c r="I186" t="n">
        <v>1275</v>
      </c>
      <c r="J186" t="n">
        <v>2286</v>
      </c>
      <c r="K186" t="n">
        <v>1275</v>
      </c>
      <c r="L186">
        <f>MIN(F186,J186)</f>
        <v/>
      </c>
      <c r="M186">
        <f>MIN(K186,MAX(0,F186-(J186-K186)))</f>
        <v/>
      </c>
    </row>
    <row r="187">
      <c r="A187" t="inlineStr">
        <is>
          <t>HARBOR-OFFICE</t>
        </is>
      </c>
      <c r="B187" t="inlineStr">
        <is>
          <t>2026-10-06</t>
        </is>
      </c>
      <c r="C187" t="n">
        <v>1</v>
      </c>
      <c r="D187" t="n">
        <v>17</v>
      </c>
      <c r="E187" t="n">
        <v>2</v>
      </c>
      <c r="F187" t="n">
        <v>5019</v>
      </c>
      <c r="G187" t="n">
        <v>217</v>
      </c>
      <c r="H187" t="n">
        <v>0</v>
      </c>
      <c r="I187" t="n">
        <v>1256</v>
      </c>
      <c r="J187" t="n">
        <v>1473</v>
      </c>
      <c r="K187" t="n">
        <v>1256</v>
      </c>
      <c r="L187">
        <f>MIN(F187,J187)</f>
        <v/>
      </c>
      <c r="M187">
        <f>MIN(K187,MAX(0,F187-(J187-K187)))</f>
        <v/>
      </c>
    </row>
    <row r="188">
      <c r="A188" t="inlineStr">
        <is>
          <t>HARBOR-OFFICE</t>
        </is>
      </c>
      <c r="B188" t="inlineStr">
        <is>
          <t>2026-10-06</t>
        </is>
      </c>
      <c r="C188" t="n">
        <v>1</v>
      </c>
      <c r="D188" t="n">
        <v>18</v>
      </c>
      <c r="E188" t="n">
        <v>2</v>
      </c>
      <c r="F188" t="n">
        <v>5019</v>
      </c>
      <c r="G188" t="n">
        <v>0</v>
      </c>
      <c r="H188" t="n">
        <v>0</v>
      </c>
      <c r="I188" t="n">
        <v>1303</v>
      </c>
      <c r="J188" t="n">
        <v>1303</v>
      </c>
      <c r="K188" t="n">
        <v>1303</v>
      </c>
      <c r="L188">
        <f>MIN(F188,J188)</f>
        <v/>
      </c>
      <c r="M188">
        <f>MIN(K188,MAX(0,F188-(J188-K188)))</f>
        <v/>
      </c>
    </row>
    <row r="189">
      <c r="A189" t="inlineStr">
        <is>
          <t>HARBOR-OFFICE</t>
        </is>
      </c>
      <c r="B189" t="inlineStr">
        <is>
          <t>2026-10-06</t>
        </is>
      </c>
      <c r="C189" t="n">
        <v>1</v>
      </c>
      <c r="D189" t="n">
        <v>19</v>
      </c>
      <c r="E189" t="n">
        <v>2</v>
      </c>
      <c r="F189" t="n">
        <v>1004</v>
      </c>
      <c r="G189" t="n">
        <v>0</v>
      </c>
      <c r="H189" t="n">
        <v>0</v>
      </c>
      <c r="I189" t="n">
        <v>1475</v>
      </c>
      <c r="J189" t="n">
        <v>1475</v>
      </c>
      <c r="K189" t="n">
        <v>1475</v>
      </c>
      <c r="L189">
        <f>MIN(F189,J189)</f>
        <v/>
      </c>
      <c r="M189">
        <f>MIN(K189,MAX(0,F189-(J189-K189)))</f>
        <v/>
      </c>
    </row>
    <row r="190">
      <c r="A190" t="inlineStr">
        <is>
          <t>HARBOR-OFFICE</t>
        </is>
      </c>
      <c r="B190" t="inlineStr">
        <is>
          <t>2026-10-06</t>
        </is>
      </c>
      <c r="C190" t="n">
        <v>1</v>
      </c>
      <c r="D190" t="n">
        <v>20</v>
      </c>
      <c r="E190" t="n">
        <v>2</v>
      </c>
      <c r="F190" t="n">
        <v>1004</v>
      </c>
      <c r="G190" t="n">
        <v>0</v>
      </c>
      <c r="H190" t="n">
        <v>0</v>
      </c>
      <c r="I190" t="n">
        <v>1476</v>
      </c>
      <c r="J190" t="n">
        <v>1476</v>
      </c>
      <c r="K190" t="n">
        <v>1476</v>
      </c>
      <c r="L190">
        <f>MIN(F190,J190)</f>
        <v/>
      </c>
      <c r="M190">
        <f>MIN(K190,MAX(0,F190-(J190-K190)))</f>
        <v/>
      </c>
    </row>
    <row r="191">
      <c r="A191" t="inlineStr">
        <is>
          <t>HARBOR-OFFICE</t>
        </is>
      </c>
      <c r="B191" t="inlineStr">
        <is>
          <t>2026-10-06</t>
        </is>
      </c>
      <c r="C191" t="n">
        <v>1</v>
      </c>
      <c r="D191" t="n">
        <v>21</v>
      </c>
      <c r="E191" t="n">
        <v>2</v>
      </c>
      <c r="F191" t="n">
        <v>1004</v>
      </c>
      <c r="G191" t="n">
        <v>0</v>
      </c>
      <c r="H191" t="n">
        <v>0</v>
      </c>
      <c r="I191" t="n">
        <v>1320</v>
      </c>
      <c r="J191" t="n">
        <v>1320</v>
      </c>
      <c r="K191" t="n">
        <v>1320</v>
      </c>
      <c r="L191">
        <f>MIN(F191,J191)</f>
        <v/>
      </c>
      <c r="M191">
        <f>MIN(K191,MAX(0,F191-(J191-K191)))</f>
        <v/>
      </c>
    </row>
    <row r="192">
      <c r="A192" t="inlineStr">
        <is>
          <t>HARBOR-OFFICE</t>
        </is>
      </c>
      <c r="B192" t="inlineStr">
        <is>
          <t>2026-10-06</t>
        </is>
      </c>
      <c r="C192" t="n">
        <v>1</v>
      </c>
      <c r="D192" t="n">
        <v>22</v>
      </c>
      <c r="E192" t="n">
        <v>2</v>
      </c>
      <c r="F192" t="n">
        <v>1004</v>
      </c>
      <c r="G192" t="n">
        <v>0</v>
      </c>
      <c r="H192" t="n">
        <v>0</v>
      </c>
      <c r="I192" t="n">
        <v>1311</v>
      </c>
      <c r="J192" t="n">
        <v>1311</v>
      </c>
      <c r="K192" t="n">
        <v>1311</v>
      </c>
      <c r="L192">
        <f>MIN(F192,J192)</f>
        <v/>
      </c>
      <c r="M192">
        <f>MIN(K192,MAX(0,F192-(J192-K192)))</f>
        <v/>
      </c>
    </row>
    <row r="193">
      <c r="A193" t="inlineStr">
        <is>
          <t>HARBOR-OFFICE</t>
        </is>
      </c>
      <c r="B193" t="inlineStr">
        <is>
          <t>2026-10-06</t>
        </is>
      </c>
      <c r="C193" t="n">
        <v>1</v>
      </c>
      <c r="D193" t="n">
        <v>23</v>
      </c>
      <c r="E193" t="n">
        <v>2</v>
      </c>
      <c r="F193" t="n">
        <v>1004</v>
      </c>
      <c r="G193" t="n">
        <v>0</v>
      </c>
      <c r="H193" t="n">
        <v>0</v>
      </c>
      <c r="I193" t="n">
        <v>1109</v>
      </c>
      <c r="J193" t="n">
        <v>1109</v>
      </c>
      <c r="K193" t="n">
        <v>1109</v>
      </c>
      <c r="L193">
        <f>MIN(F193,J193)</f>
        <v/>
      </c>
      <c r="M193">
        <f>MIN(K193,MAX(0,F193-(J193-K193)))</f>
        <v/>
      </c>
    </row>
    <row r="194">
      <c r="A194" t="inlineStr">
        <is>
          <t>HARBOR-OFFICE</t>
        </is>
      </c>
      <c r="B194" t="inlineStr">
        <is>
          <t>2026-10-07</t>
        </is>
      </c>
      <c r="C194" t="n">
        <v>2</v>
      </c>
      <c r="D194" t="n">
        <v>0</v>
      </c>
      <c r="E194" t="n">
        <v>3</v>
      </c>
      <c r="F194" t="n">
        <v>1004</v>
      </c>
      <c r="G194" t="n">
        <v>0</v>
      </c>
      <c r="H194" t="n">
        <v>0</v>
      </c>
      <c r="I194" t="n">
        <v>1008</v>
      </c>
      <c r="J194" t="n">
        <v>1008</v>
      </c>
      <c r="K194" t="n">
        <v>1008</v>
      </c>
      <c r="L194">
        <f>MIN(F194,J194)</f>
        <v/>
      </c>
      <c r="M194">
        <f>MIN(K194,MAX(0,F194-(J194-K194)))</f>
        <v/>
      </c>
    </row>
    <row r="195">
      <c r="A195" t="inlineStr">
        <is>
          <t>HARBOR-OFFICE</t>
        </is>
      </c>
      <c r="B195" t="inlineStr">
        <is>
          <t>2026-10-07</t>
        </is>
      </c>
      <c r="C195" t="n">
        <v>2</v>
      </c>
      <c r="D195" t="n">
        <v>1</v>
      </c>
      <c r="E195" t="n">
        <v>3</v>
      </c>
      <c r="F195" t="n">
        <v>1004</v>
      </c>
      <c r="G195" t="n">
        <v>0</v>
      </c>
      <c r="H195" t="n">
        <v>0</v>
      </c>
      <c r="I195" t="n">
        <v>974</v>
      </c>
      <c r="J195" t="n">
        <v>974</v>
      </c>
      <c r="K195" t="n">
        <v>974</v>
      </c>
      <c r="L195">
        <f>MIN(F195,J195)</f>
        <v/>
      </c>
      <c r="M195">
        <f>MIN(K195,MAX(0,F195-(J195-K195)))</f>
        <v/>
      </c>
    </row>
    <row r="196">
      <c r="A196" t="inlineStr">
        <is>
          <t>HARBOR-OFFICE</t>
        </is>
      </c>
      <c r="B196" t="inlineStr">
        <is>
          <t>2026-10-07</t>
        </is>
      </c>
      <c r="C196" t="n">
        <v>2</v>
      </c>
      <c r="D196" t="n">
        <v>2</v>
      </c>
      <c r="E196" t="n">
        <v>3</v>
      </c>
      <c r="F196" t="n">
        <v>1004</v>
      </c>
      <c r="G196" t="n">
        <v>0</v>
      </c>
      <c r="H196" t="n">
        <v>0</v>
      </c>
      <c r="I196" t="n">
        <v>1005</v>
      </c>
      <c r="J196" t="n">
        <v>1005</v>
      </c>
      <c r="K196" t="n">
        <v>1005</v>
      </c>
      <c r="L196">
        <f>MIN(F196,J196)</f>
        <v/>
      </c>
      <c r="M196">
        <f>MIN(K196,MAX(0,F196-(J196-K196)))</f>
        <v/>
      </c>
    </row>
    <row r="197">
      <c r="A197" t="inlineStr">
        <is>
          <t>HARBOR-OFFICE</t>
        </is>
      </c>
      <c r="B197" t="inlineStr">
        <is>
          <t>2026-10-07</t>
        </is>
      </c>
      <c r="C197" t="n">
        <v>2</v>
      </c>
      <c r="D197" t="n">
        <v>3</v>
      </c>
      <c r="E197" t="n">
        <v>3</v>
      </c>
      <c r="F197" t="n">
        <v>1004</v>
      </c>
      <c r="G197" t="n">
        <v>0</v>
      </c>
      <c r="H197" t="n">
        <v>0</v>
      </c>
      <c r="I197" t="n">
        <v>1006</v>
      </c>
      <c r="J197" t="n">
        <v>1006</v>
      </c>
      <c r="K197" t="n">
        <v>1006</v>
      </c>
      <c r="L197">
        <f>MIN(F197,J197)</f>
        <v/>
      </c>
      <c r="M197">
        <f>MIN(K197,MAX(0,F197-(J197-K197)))</f>
        <v/>
      </c>
    </row>
    <row r="198">
      <c r="A198" t="inlineStr">
        <is>
          <t>HARBOR-OFFICE</t>
        </is>
      </c>
      <c r="B198" t="inlineStr">
        <is>
          <t>2026-10-07</t>
        </is>
      </c>
      <c r="C198" t="n">
        <v>2</v>
      </c>
      <c r="D198" t="n">
        <v>4</v>
      </c>
      <c r="E198" t="n">
        <v>3</v>
      </c>
      <c r="F198" t="n">
        <v>1004</v>
      </c>
      <c r="G198" t="n">
        <v>0</v>
      </c>
      <c r="H198" t="n">
        <v>0</v>
      </c>
      <c r="I198" t="n">
        <v>1013</v>
      </c>
      <c r="J198" t="n">
        <v>1013</v>
      </c>
      <c r="K198" t="n">
        <v>1013</v>
      </c>
      <c r="L198">
        <f>MIN(F198,J198)</f>
        <v/>
      </c>
      <c r="M198">
        <f>MIN(K198,MAX(0,F198-(J198-K198)))</f>
        <v/>
      </c>
    </row>
    <row r="199">
      <c r="A199" t="inlineStr">
        <is>
          <t>HARBOR-OFFICE</t>
        </is>
      </c>
      <c r="B199" t="inlineStr">
        <is>
          <t>2026-10-07</t>
        </is>
      </c>
      <c r="C199" t="n">
        <v>2</v>
      </c>
      <c r="D199" t="n">
        <v>5</v>
      </c>
      <c r="E199" t="n">
        <v>3</v>
      </c>
      <c r="F199" t="n">
        <v>1004</v>
      </c>
      <c r="G199" t="n">
        <v>6</v>
      </c>
      <c r="H199" t="n">
        <v>0</v>
      </c>
      <c r="I199" t="n">
        <v>986</v>
      </c>
      <c r="J199" t="n">
        <v>992</v>
      </c>
      <c r="K199" t="n">
        <v>986</v>
      </c>
      <c r="L199">
        <f>MIN(F199,J199)</f>
        <v/>
      </c>
      <c r="M199">
        <f>MIN(K199,MAX(0,F199-(J199-K199)))</f>
        <v/>
      </c>
    </row>
    <row r="200">
      <c r="A200" t="inlineStr">
        <is>
          <t>HARBOR-OFFICE</t>
        </is>
      </c>
      <c r="B200" t="inlineStr">
        <is>
          <t>2026-10-07</t>
        </is>
      </c>
      <c r="C200" t="n">
        <v>2</v>
      </c>
      <c r="D200" t="n">
        <v>6</v>
      </c>
      <c r="E200" t="n">
        <v>3</v>
      </c>
      <c r="F200" t="n">
        <v>1004</v>
      </c>
      <c r="G200" t="n">
        <v>117</v>
      </c>
      <c r="H200" t="n">
        <v>0</v>
      </c>
      <c r="I200" t="n">
        <v>961</v>
      </c>
      <c r="J200" t="n">
        <v>1078</v>
      </c>
      <c r="K200" t="n">
        <v>961</v>
      </c>
      <c r="L200">
        <f>MIN(F200,J200)</f>
        <v/>
      </c>
      <c r="M200">
        <f>MIN(K200,MAX(0,F200-(J200-K200)))</f>
        <v/>
      </c>
    </row>
    <row r="201">
      <c r="A201" t="inlineStr">
        <is>
          <t>HARBOR-OFFICE</t>
        </is>
      </c>
      <c r="B201" t="inlineStr">
        <is>
          <t>2026-10-07</t>
        </is>
      </c>
      <c r="C201" t="n">
        <v>2</v>
      </c>
      <c r="D201" t="n">
        <v>7</v>
      </c>
      <c r="E201" t="n">
        <v>3</v>
      </c>
      <c r="F201" t="n">
        <v>1004</v>
      </c>
      <c r="G201" t="n">
        <v>934</v>
      </c>
      <c r="H201" t="n">
        <v>0</v>
      </c>
      <c r="I201" t="n">
        <v>888</v>
      </c>
      <c r="J201" t="n">
        <v>1822</v>
      </c>
      <c r="K201" t="n">
        <v>888</v>
      </c>
      <c r="L201">
        <f>MIN(F201,J201)</f>
        <v/>
      </c>
      <c r="M201">
        <f>MIN(K201,MAX(0,F201-(J201-K201)))</f>
        <v/>
      </c>
    </row>
    <row r="202">
      <c r="A202" t="inlineStr">
        <is>
          <t>HARBOR-OFFICE</t>
        </is>
      </c>
      <c r="B202" t="inlineStr">
        <is>
          <t>2026-10-07</t>
        </is>
      </c>
      <c r="C202" t="n">
        <v>2</v>
      </c>
      <c r="D202" t="n">
        <v>8</v>
      </c>
      <c r="E202" t="n">
        <v>3</v>
      </c>
      <c r="F202" t="n">
        <v>5019</v>
      </c>
      <c r="G202" t="n">
        <v>2185</v>
      </c>
      <c r="H202" t="n">
        <v>0</v>
      </c>
      <c r="I202" t="n">
        <v>842</v>
      </c>
      <c r="J202" t="n">
        <v>3027</v>
      </c>
      <c r="K202" t="n">
        <v>842</v>
      </c>
      <c r="L202">
        <f>MIN(F202,J202)</f>
        <v/>
      </c>
      <c r="M202">
        <f>MIN(K202,MAX(0,F202-(J202-K202)))</f>
        <v/>
      </c>
    </row>
    <row r="203">
      <c r="A203" t="inlineStr">
        <is>
          <t>HARBOR-OFFICE</t>
        </is>
      </c>
      <c r="B203" t="inlineStr">
        <is>
          <t>2026-10-07</t>
        </is>
      </c>
      <c r="C203" t="n">
        <v>2</v>
      </c>
      <c r="D203" t="n">
        <v>9</v>
      </c>
      <c r="E203" t="n">
        <v>3</v>
      </c>
      <c r="F203" t="n">
        <v>5019</v>
      </c>
      <c r="G203" t="n">
        <v>3265</v>
      </c>
      <c r="H203" t="n">
        <v>0</v>
      </c>
      <c r="I203" t="n">
        <v>753</v>
      </c>
      <c r="J203" t="n">
        <v>4018</v>
      </c>
      <c r="K203" t="n">
        <v>753</v>
      </c>
      <c r="L203">
        <f>MIN(F203,J203)</f>
        <v/>
      </c>
      <c r="M203">
        <f>MIN(K203,MAX(0,F203-(J203-K203)))</f>
        <v/>
      </c>
    </row>
    <row r="204">
      <c r="A204" t="inlineStr">
        <is>
          <t>HARBOR-OFFICE</t>
        </is>
      </c>
      <c r="B204" t="inlineStr">
        <is>
          <t>2026-10-07</t>
        </is>
      </c>
      <c r="C204" t="n">
        <v>2</v>
      </c>
      <c r="D204" t="n">
        <v>10</v>
      </c>
      <c r="E204" t="n">
        <v>3</v>
      </c>
      <c r="F204" t="n">
        <v>5019</v>
      </c>
      <c r="G204" t="n">
        <v>3916</v>
      </c>
      <c r="H204" t="n">
        <v>0</v>
      </c>
      <c r="I204" t="n">
        <v>902</v>
      </c>
      <c r="J204" t="n">
        <v>4818</v>
      </c>
      <c r="K204" t="n">
        <v>902</v>
      </c>
      <c r="L204">
        <f>MIN(F204,J204)</f>
        <v/>
      </c>
      <c r="M204">
        <f>MIN(K204,MAX(0,F204-(J204-K204)))</f>
        <v/>
      </c>
    </row>
    <row r="205">
      <c r="A205" t="inlineStr">
        <is>
          <t>HARBOR-OFFICE</t>
        </is>
      </c>
      <c r="B205" t="inlineStr">
        <is>
          <t>2026-10-07</t>
        </is>
      </c>
      <c r="C205" t="n">
        <v>2</v>
      </c>
      <c r="D205" t="n">
        <v>11</v>
      </c>
      <c r="E205" t="n">
        <v>3</v>
      </c>
      <c r="F205" t="n">
        <v>5019</v>
      </c>
      <c r="G205" t="n">
        <v>4246</v>
      </c>
      <c r="H205" t="n">
        <v>0</v>
      </c>
      <c r="I205" t="n">
        <v>907</v>
      </c>
      <c r="J205" t="n">
        <v>5153</v>
      </c>
      <c r="K205" t="n">
        <v>907</v>
      </c>
      <c r="L205">
        <f>MIN(F205,J205)</f>
        <v/>
      </c>
      <c r="M205">
        <f>MIN(K205,MAX(0,F205-(J205-K205)))</f>
        <v/>
      </c>
    </row>
    <row r="206">
      <c r="A206" t="inlineStr">
        <is>
          <t>HARBOR-OFFICE</t>
        </is>
      </c>
      <c r="B206" t="inlineStr">
        <is>
          <t>2026-10-07</t>
        </is>
      </c>
      <c r="C206" t="n">
        <v>2</v>
      </c>
      <c r="D206" t="n">
        <v>12</v>
      </c>
      <c r="E206" t="n">
        <v>3</v>
      </c>
      <c r="F206" t="n">
        <v>5019</v>
      </c>
      <c r="G206" t="n">
        <v>4120</v>
      </c>
      <c r="H206" t="n">
        <v>0</v>
      </c>
      <c r="I206" t="n">
        <v>1072</v>
      </c>
      <c r="J206" t="n">
        <v>5192</v>
      </c>
      <c r="K206" t="n">
        <v>1072</v>
      </c>
      <c r="L206">
        <f>MIN(F206,J206)</f>
        <v/>
      </c>
      <c r="M206">
        <f>MIN(K206,MAX(0,F206-(J206-K206)))</f>
        <v/>
      </c>
    </row>
    <row r="207">
      <c r="A207" t="inlineStr">
        <is>
          <t>HARBOR-OFFICE</t>
        </is>
      </c>
      <c r="B207" t="inlineStr">
        <is>
          <t>2026-10-07</t>
        </is>
      </c>
      <c r="C207" t="n">
        <v>2</v>
      </c>
      <c r="D207" t="n">
        <v>13</v>
      </c>
      <c r="E207" t="n">
        <v>3</v>
      </c>
      <c r="F207" t="n">
        <v>5019</v>
      </c>
      <c r="G207" t="n">
        <v>3844</v>
      </c>
      <c r="H207" t="n">
        <v>0</v>
      </c>
      <c r="I207" t="n">
        <v>1133</v>
      </c>
      <c r="J207" t="n">
        <v>4977</v>
      </c>
      <c r="K207" t="n">
        <v>1133</v>
      </c>
      <c r="L207">
        <f>MIN(F207,J207)</f>
        <v/>
      </c>
      <c r="M207">
        <f>MIN(K207,MAX(0,F207-(J207-K207)))</f>
        <v/>
      </c>
    </row>
    <row r="208">
      <c r="A208" t="inlineStr">
        <is>
          <t>HARBOR-OFFICE</t>
        </is>
      </c>
      <c r="B208" t="inlineStr">
        <is>
          <t>2026-10-07</t>
        </is>
      </c>
      <c r="C208" t="n">
        <v>2</v>
      </c>
      <c r="D208" t="n">
        <v>14</v>
      </c>
      <c r="E208" t="n">
        <v>3</v>
      </c>
      <c r="F208" t="n">
        <v>5019</v>
      </c>
      <c r="G208" t="n">
        <v>3326</v>
      </c>
      <c r="H208" t="n">
        <v>0</v>
      </c>
      <c r="I208" t="n">
        <v>1132</v>
      </c>
      <c r="J208" t="n">
        <v>4458</v>
      </c>
      <c r="K208" t="n">
        <v>1132</v>
      </c>
      <c r="L208">
        <f>MIN(F208,J208)</f>
        <v/>
      </c>
      <c r="M208">
        <f>MIN(K208,MAX(0,F208-(J208-K208)))</f>
        <v/>
      </c>
    </row>
    <row r="209">
      <c r="A209" t="inlineStr">
        <is>
          <t>HARBOR-OFFICE</t>
        </is>
      </c>
      <c r="B209" t="inlineStr">
        <is>
          <t>2026-10-07</t>
        </is>
      </c>
      <c r="C209" t="n">
        <v>2</v>
      </c>
      <c r="D209" t="n">
        <v>15</v>
      </c>
      <c r="E209" t="n">
        <v>3</v>
      </c>
      <c r="F209" t="n">
        <v>5019</v>
      </c>
      <c r="G209" t="n">
        <v>2352</v>
      </c>
      <c r="H209" t="n">
        <v>0</v>
      </c>
      <c r="I209" t="n">
        <v>1342</v>
      </c>
      <c r="J209" t="n">
        <v>3694</v>
      </c>
      <c r="K209" t="n">
        <v>1342</v>
      </c>
      <c r="L209">
        <f>MIN(F209,J209)</f>
        <v/>
      </c>
      <c r="M209">
        <f>MIN(K209,MAX(0,F209-(J209-K209)))</f>
        <v/>
      </c>
    </row>
    <row r="210">
      <c r="A210" t="inlineStr">
        <is>
          <t>HARBOR-OFFICE</t>
        </is>
      </c>
      <c r="B210" t="inlineStr">
        <is>
          <t>2026-10-07</t>
        </is>
      </c>
      <c r="C210" t="n">
        <v>2</v>
      </c>
      <c r="D210" t="n">
        <v>16</v>
      </c>
      <c r="E210" t="n">
        <v>3</v>
      </c>
      <c r="F210" t="n">
        <v>5019</v>
      </c>
      <c r="G210" t="n">
        <v>1153</v>
      </c>
      <c r="H210" t="n">
        <v>0</v>
      </c>
      <c r="I210" t="n">
        <v>1588</v>
      </c>
      <c r="J210" t="n">
        <v>2741</v>
      </c>
      <c r="K210" t="n">
        <v>1588</v>
      </c>
      <c r="L210">
        <f>MIN(F210,J210)</f>
        <v/>
      </c>
      <c r="M210">
        <f>MIN(K210,MAX(0,F210-(J210-K210)))</f>
        <v/>
      </c>
    </row>
    <row r="211">
      <c r="A211" t="inlineStr">
        <is>
          <t>HARBOR-OFFICE</t>
        </is>
      </c>
      <c r="B211" t="inlineStr">
        <is>
          <t>2026-10-07</t>
        </is>
      </c>
      <c r="C211" t="n">
        <v>2</v>
      </c>
      <c r="D211" t="n">
        <v>17</v>
      </c>
      <c r="E211" t="n">
        <v>3</v>
      </c>
      <c r="F211" t="n">
        <v>5019</v>
      </c>
      <c r="G211" t="n">
        <v>280</v>
      </c>
      <c r="H211" t="n">
        <v>0</v>
      </c>
      <c r="I211" t="n">
        <v>1433</v>
      </c>
      <c r="J211" t="n">
        <v>1713</v>
      </c>
      <c r="K211" t="n">
        <v>1433</v>
      </c>
      <c r="L211">
        <f>MIN(F211,J211)</f>
        <v/>
      </c>
      <c r="M211">
        <f>MIN(K211,MAX(0,F211-(J211-K211)))</f>
        <v/>
      </c>
    </row>
    <row r="212">
      <c r="A212" t="inlineStr">
        <is>
          <t>HARBOR-OFFICE</t>
        </is>
      </c>
      <c r="B212" t="inlineStr">
        <is>
          <t>2026-10-07</t>
        </is>
      </c>
      <c r="C212" t="n">
        <v>2</v>
      </c>
      <c r="D212" t="n">
        <v>18</v>
      </c>
      <c r="E212" t="n">
        <v>3</v>
      </c>
      <c r="F212" t="n">
        <v>5019</v>
      </c>
      <c r="G212" t="n">
        <v>0</v>
      </c>
      <c r="H212" t="n">
        <v>0</v>
      </c>
      <c r="I212" t="n">
        <v>1736</v>
      </c>
      <c r="J212" t="n">
        <v>1736</v>
      </c>
      <c r="K212" t="n">
        <v>1736</v>
      </c>
      <c r="L212">
        <f>MIN(F212,J212)</f>
        <v/>
      </c>
      <c r="M212">
        <f>MIN(K212,MAX(0,F212-(J212-K212)))</f>
        <v/>
      </c>
    </row>
    <row r="213">
      <c r="A213" t="inlineStr">
        <is>
          <t>HARBOR-OFFICE</t>
        </is>
      </c>
      <c r="B213" t="inlineStr">
        <is>
          <t>2026-10-07</t>
        </is>
      </c>
      <c r="C213" t="n">
        <v>2</v>
      </c>
      <c r="D213" t="n">
        <v>19</v>
      </c>
      <c r="E213" t="n">
        <v>3</v>
      </c>
      <c r="F213" t="n">
        <v>1004</v>
      </c>
      <c r="G213" t="n">
        <v>0</v>
      </c>
      <c r="H213" t="n">
        <v>0</v>
      </c>
      <c r="I213" t="n">
        <v>1829</v>
      </c>
      <c r="J213" t="n">
        <v>1829</v>
      </c>
      <c r="K213" t="n">
        <v>1829</v>
      </c>
      <c r="L213">
        <f>MIN(F213,J213)</f>
        <v/>
      </c>
      <c r="M213">
        <f>MIN(K213,MAX(0,F213-(J213-K213)))</f>
        <v/>
      </c>
    </row>
    <row r="214">
      <c r="A214" t="inlineStr">
        <is>
          <t>HARBOR-OFFICE</t>
        </is>
      </c>
      <c r="B214" t="inlineStr">
        <is>
          <t>2026-10-07</t>
        </is>
      </c>
      <c r="C214" t="n">
        <v>2</v>
      </c>
      <c r="D214" t="n">
        <v>20</v>
      </c>
      <c r="E214" t="n">
        <v>3</v>
      </c>
      <c r="F214" t="n">
        <v>1004</v>
      </c>
      <c r="G214" t="n">
        <v>0</v>
      </c>
      <c r="H214" t="n">
        <v>0</v>
      </c>
      <c r="I214" t="n">
        <v>1439</v>
      </c>
      <c r="J214" t="n">
        <v>1439</v>
      </c>
      <c r="K214" t="n">
        <v>1439</v>
      </c>
      <c r="L214">
        <f>MIN(F214,J214)</f>
        <v/>
      </c>
      <c r="M214">
        <f>MIN(K214,MAX(0,F214-(J214-K214)))</f>
        <v/>
      </c>
    </row>
    <row r="215">
      <c r="A215" t="inlineStr">
        <is>
          <t>HARBOR-OFFICE</t>
        </is>
      </c>
      <c r="B215" t="inlineStr">
        <is>
          <t>2026-10-07</t>
        </is>
      </c>
      <c r="C215" t="n">
        <v>2</v>
      </c>
      <c r="D215" t="n">
        <v>21</v>
      </c>
      <c r="E215" t="n">
        <v>3</v>
      </c>
      <c r="F215" t="n">
        <v>1004</v>
      </c>
      <c r="G215" t="n">
        <v>0</v>
      </c>
      <c r="H215" t="n">
        <v>0</v>
      </c>
      <c r="I215" t="n">
        <v>1267</v>
      </c>
      <c r="J215" t="n">
        <v>1267</v>
      </c>
      <c r="K215" t="n">
        <v>1267</v>
      </c>
      <c r="L215">
        <f>MIN(F215,J215)</f>
        <v/>
      </c>
      <c r="M215">
        <f>MIN(K215,MAX(0,F215-(J215-K215)))</f>
        <v/>
      </c>
    </row>
    <row r="216">
      <c r="A216" t="inlineStr">
        <is>
          <t>HARBOR-OFFICE</t>
        </is>
      </c>
      <c r="B216" t="inlineStr">
        <is>
          <t>2026-10-07</t>
        </is>
      </c>
      <c r="C216" t="n">
        <v>2</v>
      </c>
      <c r="D216" t="n">
        <v>22</v>
      </c>
      <c r="E216" t="n">
        <v>3</v>
      </c>
      <c r="F216" t="n">
        <v>1004</v>
      </c>
      <c r="G216" t="n">
        <v>0</v>
      </c>
      <c r="H216" t="n">
        <v>0</v>
      </c>
      <c r="I216" t="n">
        <v>1211</v>
      </c>
      <c r="J216" t="n">
        <v>1211</v>
      </c>
      <c r="K216" t="n">
        <v>1211</v>
      </c>
      <c r="L216">
        <f>MIN(F216,J216)</f>
        <v/>
      </c>
      <c r="M216">
        <f>MIN(K216,MAX(0,F216-(J216-K216)))</f>
        <v/>
      </c>
    </row>
    <row r="217">
      <c r="A217" t="inlineStr">
        <is>
          <t>HARBOR-OFFICE</t>
        </is>
      </c>
      <c r="B217" t="inlineStr">
        <is>
          <t>2026-10-07</t>
        </is>
      </c>
      <c r="C217" t="n">
        <v>2</v>
      </c>
      <c r="D217" t="n">
        <v>23</v>
      </c>
      <c r="E217" t="n">
        <v>3</v>
      </c>
      <c r="F217" t="n">
        <v>1004</v>
      </c>
      <c r="G217" t="n">
        <v>0</v>
      </c>
      <c r="H217" t="n">
        <v>0</v>
      </c>
      <c r="I217" t="n">
        <v>1050</v>
      </c>
      <c r="J217" t="n">
        <v>1050</v>
      </c>
      <c r="K217" t="n">
        <v>1050</v>
      </c>
      <c r="L217">
        <f>MIN(F217,J217)</f>
        <v/>
      </c>
      <c r="M217">
        <f>MIN(K217,MAX(0,F217-(J217-K217)))</f>
        <v/>
      </c>
    </row>
    <row r="218">
      <c r="A218" t="inlineStr">
        <is>
          <t>HARBOR-OFFICE</t>
        </is>
      </c>
      <c r="B218" t="inlineStr">
        <is>
          <t>2026-10-08</t>
        </is>
      </c>
      <c r="C218" t="n">
        <v>3</v>
      </c>
      <c r="D218" t="n">
        <v>0</v>
      </c>
      <c r="E218" t="n">
        <v>4</v>
      </c>
      <c r="F218" t="n">
        <v>1004</v>
      </c>
      <c r="G218" t="n">
        <v>0</v>
      </c>
      <c r="H218" t="n">
        <v>0</v>
      </c>
      <c r="I218" t="n">
        <v>1006</v>
      </c>
      <c r="J218" t="n">
        <v>1006</v>
      </c>
      <c r="K218" t="n">
        <v>1006</v>
      </c>
      <c r="L218">
        <f>MIN(F218,J218)</f>
        <v/>
      </c>
      <c r="M218">
        <f>MIN(K218,MAX(0,F218-(J218-K218)))</f>
        <v/>
      </c>
    </row>
    <row r="219">
      <c r="A219" t="inlineStr">
        <is>
          <t>HARBOR-OFFICE</t>
        </is>
      </c>
      <c r="B219" t="inlineStr">
        <is>
          <t>2026-10-08</t>
        </is>
      </c>
      <c r="C219" t="n">
        <v>3</v>
      </c>
      <c r="D219" t="n">
        <v>1</v>
      </c>
      <c r="E219" t="n">
        <v>4</v>
      </c>
      <c r="F219" t="n">
        <v>1004</v>
      </c>
      <c r="G219" t="n">
        <v>0</v>
      </c>
      <c r="H219" t="n">
        <v>0</v>
      </c>
      <c r="I219" t="n">
        <v>1002</v>
      </c>
      <c r="J219" t="n">
        <v>1002</v>
      </c>
      <c r="K219" t="n">
        <v>1002</v>
      </c>
      <c r="L219">
        <f>MIN(F219,J219)</f>
        <v/>
      </c>
      <c r="M219">
        <f>MIN(K219,MAX(0,F219-(J219-K219)))</f>
        <v/>
      </c>
    </row>
    <row r="220">
      <c r="A220" t="inlineStr">
        <is>
          <t>HARBOR-OFFICE</t>
        </is>
      </c>
      <c r="B220" t="inlineStr">
        <is>
          <t>2026-10-08</t>
        </is>
      </c>
      <c r="C220" t="n">
        <v>3</v>
      </c>
      <c r="D220" t="n">
        <v>2</v>
      </c>
      <c r="E220" t="n">
        <v>4</v>
      </c>
      <c r="F220" t="n">
        <v>1004</v>
      </c>
      <c r="G220" t="n">
        <v>0</v>
      </c>
      <c r="H220" t="n">
        <v>0</v>
      </c>
      <c r="I220" t="n">
        <v>1037</v>
      </c>
      <c r="J220" t="n">
        <v>1037</v>
      </c>
      <c r="K220" t="n">
        <v>1037</v>
      </c>
      <c r="L220">
        <f>MIN(F220,J220)</f>
        <v/>
      </c>
      <c r="M220">
        <f>MIN(K220,MAX(0,F220-(J220-K220)))</f>
        <v/>
      </c>
    </row>
    <row r="221">
      <c r="A221" t="inlineStr">
        <is>
          <t>HARBOR-OFFICE</t>
        </is>
      </c>
      <c r="B221" t="inlineStr">
        <is>
          <t>2026-10-08</t>
        </is>
      </c>
      <c r="C221" t="n">
        <v>3</v>
      </c>
      <c r="D221" t="n">
        <v>3</v>
      </c>
      <c r="E221" t="n">
        <v>4</v>
      </c>
      <c r="F221" t="n">
        <v>1004</v>
      </c>
      <c r="G221" t="n">
        <v>0</v>
      </c>
      <c r="H221" t="n">
        <v>0</v>
      </c>
      <c r="I221" t="n">
        <v>1053</v>
      </c>
      <c r="J221" t="n">
        <v>1053</v>
      </c>
      <c r="K221" t="n">
        <v>1053</v>
      </c>
      <c r="L221">
        <f>MIN(F221,J221)</f>
        <v/>
      </c>
      <c r="M221">
        <f>MIN(K221,MAX(0,F221-(J221-K221)))</f>
        <v/>
      </c>
    </row>
    <row r="222">
      <c r="A222" t="inlineStr">
        <is>
          <t>HARBOR-OFFICE</t>
        </is>
      </c>
      <c r="B222" t="inlineStr">
        <is>
          <t>2026-10-08</t>
        </is>
      </c>
      <c r="C222" t="n">
        <v>3</v>
      </c>
      <c r="D222" t="n">
        <v>4</v>
      </c>
      <c r="E222" t="n">
        <v>4</v>
      </c>
      <c r="F222" t="n">
        <v>1004</v>
      </c>
      <c r="G222" t="n">
        <v>0</v>
      </c>
      <c r="H222" t="n">
        <v>0</v>
      </c>
      <c r="I222" t="n">
        <v>1014</v>
      </c>
      <c r="J222" t="n">
        <v>1014</v>
      </c>
      <c r="K222" t="n">
        <v>1014</v>
      </c>
      <c r="L222">
        <f>MIN(F222,J222)</f>
        <v/>
      </c>
      <c r="M222">
        <f>MIN(K222,MAX(0,F222-(J222-K222)))</f>
        <v/>
      </c>
    </row>
    <row r="223">
      <c r="A223" t="inlineStr">
        <is>
          <t>HARBOR-OFFICE</t>
        </is>
      </c>
      <c r="B223" t="inlineStr">
        <is>
          <t>2026-10-08</t>
        </is>
      </c>
      <c r="C223" t="n">
        <v>3</v>
      </c>
      <c r="D223" t="n">
        <v>5</v>
      </c>
      <c r="E223" t="n">
        <v>4</v>
      </c>
      <c r="F223" t="n">
        <v>1004</v>
      </c>
      <c r="G223" t="n">
        <v>2</v>
      </c>
      <c r="H223" t="n">
        <v>0</v>
      </c>
      <c r="I223" t="n">
        <v>956</v>
      </c>
      <c r="J223" t="n">
        <v>958</v>
      </c>
      <c r="K223" t="n">
        <v>956</v>
      </c>
      <c r="L223">
        <f>MIN(F223,J223)</f>
        <v/>
      </c>
      <c r="M223">
        <f>MIN(K223,MAX(0,F223-(J223-K223)))</f>
        <v/>
      </c>
    </row>
    <row r="224">
      <c r="A224" t="inlineStr">
        <is>
          <t>HARBOR-OFFICE</t>
        </is>
      </c>
      <c r="B224" t="inlineStr">
        <is>
          <t>2026-10-08</t>
        </is>
      </c>
      <c r="C224" t="n">
        <v>3</v>
      </c>
      <c r="D224" t="n">
        <v>6</v>
      </c>
      <c r="E224" t="n">
        <v>4</v>
      </c>
      <c r="F224" t="n">
        <v>1004</v>
      </c>
      <c r="G224" t="n">
        <v>115</v>
      </c>
      <c r="H224" t="n">
        <v>0</v>
      </c>
      <c r="I224" t="n">
        <v>938</v>
      </c>
      <c r="J224" t="n">
        <v>1053</v>
      </c>
      <c r="K224" t="n">
        <v>938</v>
      </c>
      <c r="L224">
        <f>MIN(F224,J224)</f>
        <v/>
      </c>
      <c r="M224">
        <f>MIN(K224,MAX(0,F224-(J224-K224)))</f>
        <v/>
      </c>
    </row>
    <row r="225">
      <c r="A225" t="inlineStr">
        <is>
          <t>HARBOR-OFFICE</t>
        </is>
      </c>
      <c r="B225" t="inlineStr">
        <is>
          <t>2026-10-08</t>
        </is>
      </c>
      <c r="C225" t="n">
        <v>3</v>
      </c>
      <c r="D225" t="n">
        <v>7</v>
      </c>
      <c r="E225" t="n">
        <v>4</v>
      </c>
      <c r="F225" t="n">
        <v>1004</v>
      </c>
      <c r="G225" t="n">
        <v>889</v>
      </c>
      <c r="H225" t="n">
        <v>0</v>
      </c>
      <c r="I225" t="n">
        <v>954</v>
      </c>
      <c r="J225" t="n">
        <v>1843</v>
      </c>
      <c r="K225" t="n">
        <v>954</v>
      </c>
      <c r="L225">
        <f>MIN(F225,J225)</f>
        <v/>
      </c>
      <c r="M225">
        <f>MIN(K225,MAX(0,F225-(J225-K225)))</f>
        <v/>
      </c>
    </row>
    <row r="226">
      <c r="A226" t="inlineStr">
        <is>
          <t>HARBOR-OFFICE</t>
        </is>
      </c>
      <c r="B226" t="inlineStr">
        <is>
          <t>2026-10-08</t>
        </is>
      </c>
      <c r="C226" t="n">
        <v>3</v>
      </c>
      <c r="D226" t="n">
        <v>8</v>
      </c>
      <c r="E226" t="n">
        <v>4</v>
      </c>
      <c r="F226" t="n">
        <v>5019</v>
      </c>
      <c r="G226" t="n">
        <v>2006</v>
      </c>
      <c r="H226" t="n">
        <v>0</v>
      </c>
      <c r="I226" t="n">
        <v>943</v>
      </c>
      <c r="J226" t="n">
        <v>2949</v>
      </c>
      <c r="K226" t="n">
        <v>943</v>
      </c>
      <c r="L226">
        <f>MIN(F226,J226)</f>
        <v/>
      </c>
      <c r="M226">
        <f>MIN(K226,MAX(0,F226-(J226-K226)))</f>
        <v/>
      </c>
    </row>
    <row r="227">
      <c r="A227" t="inlineStr">
        <is>
          <t>HARBOR-OFFICE</t>
        </is>
      </c>
      <c r="B227" t="inlineStr">
        <is>
          <t>2026-10-08</t>
        </is>
      </c>
      <c r="C227" t="n">
        <v>3</v>
      </c>
      <c r="D227" t="n">
        <v>9</v>
      </c>
      <c r="E227" t="n">
        <v>4</v>
      </c>
      <c r="F227" t="n">
        <v>5019</v>
      </c>
      <c r="G227" t="n">
        <v>3035</v>
      </c>
      <c r="H227" t="n">
        <v>0</v>
      </c>
      <c r="I227" t="n">
        <v>1001</v>
      </c>
      <c r="J227" t="n">
        <v>4036</v>
      </c>
      <c r="K227" t="n">
        <v>1001</v>
      </c>
      <c r="L227">
        <f>MIN(F227,J227)</f>
        <v/>
      </c>
      <c r="M227">
        <f>MIN(K227,MAX(0,F227-(J227-K227)))</f>
        <v/>
      </c>
    </row>
    <row r="228">
      <c r="A228" t="inlineStr">
        <is>
          <t>HARBOR-OFFICE</t>
        </is>
      </c>
      <c r="B228" t="inlineStr">
        <is>
          <t>2026-10-08</t>
        </is>
      </c>
      <c r="C228" t="n">
        <v>3</v>
      </c>
      <c r="D228" t="n">
        <v>10</v>
      </c>
      <c r="E228" t="n">
        <v>4</v>
      </c>
      <c r="F228" t="n">
        <v>5019</v>
      </c>
      <c r="G228" t="n">
        <v>3685</v>
      </c>
      <c r="H228" t="n">
        <v>0</v>
      </c>
      <c r="I228" t="n">
        <v>1091</v>
      </c>
      <c r="J228" t="n">
        <v>4776</v>
      </c>
      <c r="K228" t="n">
        <v>1091</v>
      </c>
      <c r="L228">
        <f>MIN(F228,J228)</f>
        <v/>
      </c>
      <c r="M228">
        <f>MIN(K228,MAX(0,F228-(J228-K228)))</f>
        <v/>
      </c>
    </row>
    <row r="229">
      <c r="A229" t="inlineStr">
        <is>
          <t>HARBOR-OFFICE</t>
        </is>
      </c>
      <c r="B229" t="inlineStr">
        <is>
          <t>2026-10-08</t>
        </is>
      </c>
      <c r="C229" t="n">
        <v>3</v>
      </c>
      <c r="D229" t="n">
        <v>11</v>
      </c>
      <c r="E229" t="n">
        <v>4</v>
      </c>
      <c r="F229" t="n">
        <v>5019</v>
      </c>
      <c r="G229" t="n">
        <v>3966</v>
      </c>
      <c r="H229" t="n">
        <v>0</v>
      </c>
      <c r="I229" t="n">
        <v>1090</v>
      </c>
      <c r="J229" t="n">
        <v>5056</v>
      </c>
      <c r="K229" t="n">
        <v>1090</v>
      </c>
      <c r="L229">
        <f>MIN(F229,J229)</f>
        <v/>
      </c>
      <c r="M229">
        <f>MIN(K229,MAX(0,F229-(J229-K229)))</f>
        <v/>
      </c>
    </row>
    <row r="230">
      <c r="A230" t="inlineStr">
        <is>
          <t>HARBOR-OFFICE</t>
        </is>
      </c>
      <c r="B230" t="inlineStr">
        <is>
          <t>2026-10-08</t>
        </is>
      </c>
      <c r="C230" t="n">
        <v>3</v>
      </c>
      <c r="D230" t="n">
        <v>12</v>
      </c>
      <c r="E230" t="n">
        <v>4</v>
      </c>
      <c r="F230" t="n">
        <v>5019</v>
      </c>
      <c r="G230" t="n">
        <v>4046</v>
      </c>
      <c r="H230" t="n">
        <v>0</v>
      </c>
      <c r="I230" t="n">
        <v>1089</v>
      </c>
      <c r="J230" t="n">
        <v>5135</v>
      </c>
      <c r="K230" t="n">
        <v>1089</v>
      </c>
      <c r="L230">
        <f>MIN(F230,J230)</f>
        <v/>
      </c>
      <c r="M230">
        <f>MIN(K230,MAX(0,F230-(J230-K230)))</f>
        <v/>
      </c>
    </row>
    <row r="231">
      <c r="A231" t="inlineStr">
        <is>
          <t>HARBOR-OFFICE</t>
        </is>
      </c>
      <c r="B231" t="inlineStr">
        <is>
          <t>2026-10-08</t>
        </is>
      </c>
      <c r="C231" t="n">
        <v>3</v>
      </c>
      <c r="D231" t="n">
        <v>13</v>
      </c>
      <c r="E231" t="n">
        <v>4</v>
      </c>
      <c r="F231" t="n">
        <v>5019</v>
      </c>
      <c r="G231" t="n">
        <v>3661</v>
      </c>
      <c r="H231" t="n">
        <v>0</v>
      </c>
      <c r="I231" t="n">
        <v>1089</v>
      </c>
      <c r="J231" t="n">
        <v>4750</v>
      </c>
      <c r="K231" t="n">
        <v>1089</v>
      </c>
      <c r="L231">
        <f>MIN(F231,J231)</f>
        <v/>
      </c>
      <c r="M231">
        <f>MIN(K231,MAX(0,F231-(J231-K231)))</f>
        <v/>
      </c>
    </row>
    <row r="232">
      <c r="A232" t="inlineStr">
        <is>
          <t>HARBOR-OFFICE</t>
        </is>
      </c>
      <c r="B232" t="inlineStr">
        <is>
          <t>2026-10-08</t>
        </is>
      </c>
      <c r="C232" t="n">
        <v>3</v>
      </c>
      <c r="D232" t="n">
        <v>14</v>
      </c>
      <c r="E232" t="n">
        <v>4</v>
      </c>
      <c r="F232" t="n">
        <v>5019</v>
      </c>
      <c r="G232" t="n">
        <v>2948</v>
      </c>
      <c r="H232" t="n">
        <v>0</v>
      </c>
      <c r="I232" t="n">
        <v>1071</v>
      </c>
      <c r="J232" t="n">
        <v>4019</v>
      </c>
      <c r="K232" t="n">
        <v>1071</v>
      </c>
      <c r="L232">
        <f>MIN(F232,J232)</f>
        <v/>
      </c>
      <c r="M232">
        <f>MIN(K232,MAX(0,F232-(J232-K232)))</f>
        <v/>
      </c>
    </row>
    <row r="233">
      <c r="A233" t="inlineStr">
        <is>
          <t>HARBOR-OFFICE</t>
        </is>
      </c>
      <c r="B233" t="inlineStr">
        <is>
          <t>2026-10-08</t>
        </is>
      </c>
      <c r="C233" t="n">
        <v>3</v>
      </c>
      <c r="D233" t="n">
        <v>15</v>
      </c>
      <c r="E233" t="n">
        <v>4</v>
      </c>
      <c r="F233" t="n">
        <v>5019</v>
      </c>
      <c r="G233" t="n">
        <v>2057</v>
      </c>
      <c r="H233" t="n">
        <v>0</v>
      </c>
      <c r="I233" t="n">
        <v>1064</v>
      </c>
      <c r="J233" t="n">
        <v>3121</v>
      </c>
      <c r="K233" t="n">
        <v>1064</v>
      </c>
      <c r="L233">
        <f>MIN(F233,J233)</f>
        <v/>
      </c>
      <c r="M233">
        <f>MIN(K233,MAX(0,F233-(J233-K233)))</f>
        <v/>
      </c>
    </row>
    <row r="234">
      <c r="A234" t="inlineStr">
        <is>
          <t>HARBOR-OFFICE</t>
        </is>
      </c>
      <c r="B234" t="inlineStr">
        <is>
          <t>2026-10-08</t>
        </is>
      </c>
      <c r="C234" t="n">
        <v>3</v>
      </c>
      <c r="D234" t="n">
        <v>16</v>
      </c>
      <c r="E234" t="n">
        <v>4</v>
      </c>
      <c r="F234" t="n">
        <v>5019</v>
      </c>
      <c r="G234" t="n">
        <v>1033</v>
      </c>
      <c r="H234" t="n">
        <v>0</v>
      </c>
      <c r="I234" t="n">
        <v>1453</v>
      </c>
      <c r="J234" t="n">
        <v>2486</v>
      </c>
      <c r="K234" t="n">
        <v>1453</v>
      </c>
      <c r="L234">
        <f>MIN(F234,J234)</f>
        <v/>
      </c>
      <c r="M234">
        <f>MIN(K234,MAX(0,F234-(J234-K234)))</f>
        <v/>
      </c>
    </row>
    <row r="235">
      <c r="A235" t="inlineStr">
        <is>
          <t>HARBOR-OFFICE</t>
        </is>
      </c>
      <c r="B235" t="inlineStr">
        <is>
          <t>2026-10-08</t>
        </is>
      </c>
      <c r="C235" t="n">
        <v>3</v>
      </c>
      <c r="D235" t="n">
        <v>17</v>
      </c>
      <c r="E235" t="n">
        <v>4</v>
      </c>
      <c r="F235" t="n">
        <v>5019</v>
      </c>
      <c r="G235" t="n">
        <v>247</v>
      </c>
      <c r="H235" t="n">
        <v>0</v>
      </c>
      <c r="I235" t="n">
        <v>2789</v>
      </c>
      <c r="J235" t="n">
        <v>3036</v>
      </c>
      <c r="K235" t="n">
        <v>2789</v>
      </c>
      <c r="L235">
        <f>MIN(F235,J235)</f>
        <v/>
      </c>
      <c r="M235">
        <f>MIN(K235,MAX(0,F235-(J235-K235)))</f>
        <v/>
      </c>
    </row>
    <row r="236">
      <c r="A236" t="inlineStr">
        <is>
          <t>HARBOR-OFFICE</t>
        </is>
      </c>
      <c r="B236" t="inlineStr">
        <is>
          <t>2026-10-08</t>
        </is>
      </c>
      <c r="C236" t="n">
        <v>3</v>
      </c>
      <c r="D236" t="n">
        <v>18</v>
      </c>
      <c r="E236" t="n">
        <v>4</v>
      </c>
      <c r="F236" t="n">
        <v>5019</v>
      </c>
      <c r="G236" t="n">
        <v>0</v>
      </c>
      <c r="H236" t="n">
        <v>0</v>
      </c>
      <c r="I236" t="n">
        <v>3000</v>
      </c>
      <c r="J236" t="n">
        <v>3000</v>
      </c>
      <c r="K236" t="n">
        <v>3000</v>
      </c>
      <c r="L236">
        <f>MIN(F236,J236)</f>
        <v/>
      </c>
      <c r="M236">
        <f>MIN(K236,MAX(0,F236-(J236-K236)))</f>
        <v/>
      </c>
    </row>
    <row r="237">
      <c r="A237" t="inlineStr">
        <is>
          <t>HARBOR-OFFICE</t>
        </is>
      </c>
      <c r="B237" t="inlineStr">
        <is>
          <t>2026-10-08</t>
        </is>
      </c>
      <c r="C237" t="n">
        <v>3</v>
      </c>
      <c r="D237" t="n">
        <v>19</v>
      </c>
      <c r="E237" t="n">
        <v>4</v>
      </c>
      <c r="F237" t="n">
        <v>1004</v>
      </c>
      <c r="G237" t="n">
        <v>0</v>
      </c>
      <c r="H237" t="n">
        <v>0</v>
      </c>
      <c r="I237" t="n">
        <v>1697</v>
      </c>
      <c r="J237" t="n">
        <v>1697</v>
      </c>
      <c r="K237" t="n">
        <v>1697</v>
      </c>
      <c r="L237">
        <f>MIN(F237,J237)</f>
        <v/>
      </c>
      <c r="M237">
        <f>MIN(K237,MAX(0,F237-(J237-K237)))</f>
        <v/>
      </c>
    </row>
    <row r="238">
      <c r="A238" t="inlineStr">
        <is>
          <t>HARBOR-OFFICE</t>
        </is>
      </c>
      <c r="B238" t="inlineStr">
        <is>
          <t>2026-10-08</t>
        </is>
      </c>
      <c r="C238" t="n">
        <v>3</v>
      </c>
      <c r="D238" t="n">
        <v>20</v>
      </c>
      <c r="E238" t="n">
        <v>4</v>
      </c>
      <c r="F238" t="n">
        <v>1004</v>
      </c>
      <c r="G238" t="n">
        <v>0</v>
      </c>
      <c r="H238" t="n">
        <v>0</v>
      </c>
      <c r="I238" t="n">
        <v>1589</v>
      </c>
      <c r="J238" t="n">
        <v>1589</v>
      </c>
      <c r="K238" t="n">
        <v>1589</v>
      </c>
      <c r="L238">
        <f>MIN(F238,J238)</f>
        <v/>
      </c>
      <c r="M238">
        <f>MIN(K238,MAX(0,F238-(J238-K238)))</f>
        <v/>
      </c>
    </row>
    <row r="239">
      <c r="A239" t="inlineStr">
        <is>
          <t>HARBOR-OFFICE</t>
        </is>
      </c>
      <c r="B239" t="inlineStr">
        <is>
          <t>2026-10-08</t>
        </is>
      </c>
      <c r="C239" t="n">
        <v>3</v>
      </c>
      <c r="D239" t="n">
        <v>21</v>
      </c>
      <c r="E239" t="n">
        <v>4</v>
      </c>
      <c r="F239" t="n">
        <v>1004</v>
      </c>
      <c r="G239" t="n">
        <v>0</v>
      </c>
      <c r="H239" t="n">
        <v>0</v>
      </c>
      <c r="I239" t="n">
        <v>1378</v>
      </c>
      <c r="J239" t="n">
        <v>1378</v>
      </c>
      <c r="K239" t="n">
        <v>1378</v>
      </c>
      <c r="L239">
        <f>MIN(F239,J239)</f>
        <v/>
      </c>
      <c r="M239">
        <f>MIN(K239,MAX(0,F239-(J239-K239)))</f>
        <v/>
      </c>
    </row>
    <row r="240">
      <c r="A240" t="inlineStr">
        <is>
          <t>HARBOR-OFFICE</t>
        </is>
      </c>
      <c r="B240" t="inlineStr">
        <is>
          <t>2026-10-08</t>
        </is>
      </c>
      <c r="C240" t="n">
        <v>3</v>
      </c>
      <c r="D240" t="n">
        <v>22</v>
      </c>
      <c r="E240" t="n">
        <v>4</v>
      </c>
      <c r="F240" t="n">
        <v>1004</v>
      </c>
      <c r="G240" t="n">
        <v>0</v>
      </c>
      <c r="H240" t="n">
        <v>0</v>
      </c>
      <c r="I240" t="n">
        <v>1266</v>
      </c>
      <c r="J240" t="n">
        <v>1266</v>
      </c>
      <c r="K240" t="n">
        <v>1266</v>
      </c>
      <c r="L240">
        <f>MIN(F240,J240)</f>
        <v/>
      </c>
      <c r="M240">
        <f>MIN(K240,MAX(0,F240-(J240-K240)))</f>
        <v/>
      </c>
    </row>
    <row r="241">
      <c r="A241" t="inlineStr">
        <is>
          <t>HARBOR-OFFICE</t>
        </is>
      </c>
      <c r="B241" t="inlineStr">
        <is>
          <t>2026-10-08</t>
        </is>
      </c>
      <c r="C241" t="n">
        <v>3</v>
      </c>
      <c r="D241" t="n">
        <v>23</v>
      </c>
      <c r="E241" t="n">
        <v>4</v>
      </c>
      <c r="F241" t="n">
        <v>1004</v>
      </c>
      <c r="G241" t="n">
        <v>0</v>
      </c>
      <c r="H241" t="n">
        <v>0</v>
      </c>
      <c r="I241" t="n">
        <v>1245</v>
      </c>
      <c r="J241" t="n">
        <v>1245</v>
      </c>
      <c r="K241" t="n">
        <v>1245</v>
      </c>
      <c r="L241">
        <f>MIN(F241,J241)</f>
        <v/>
      </c>
      <c r="M241">
        <f>MIN(K241,MAX(0,F241-(J241-K241)))</f>
        <v/>
      </c>
    </row>
    <row r="242">
      <c r="A242" t="inlineStr">
        <is>
          <t>HARBOR-OFFICE</t>
        </is>
      </c>
      <c r="B242" t="inlineStr">
        <is>
          <t>2026-10-09</t>
        </is>
      </c>
      <c r="C242" t="n">
        <v>4</v>
      </c>
      <c r="D242" t="n">
        <v>0</v>
      </c>
      <c r="E242" t="n">
        <v>5</v>
      </c>
      <c r="F242" t="n">
        <v>1004</v>
      </c>
      <c r="G242" t="n">
        <v>0</v>
      </c>
      <c r="H242" t="n">
        <v>0</v>
      </c>
      <c r="I242" t="n">
        <v>1136</v>
      </c>
      <c r="J242" t="n">
        <v>1136</v>
      </c>
      <c r="K242" t="n">
        <v>1136</v>
      </c>
      <c r="L242">
        <f>MIN(F242,J242)</f>
        <v/>
      </c>
      <c r="M242">
        <f>MIN(K242,MAX(0,F242-(J242-K242)))</f>
        <v/>
      </c>
    </row>
    <row r="243">
      <c r="A243" t="inlineStr">
        <is>
          <t>HARBOR-OFFICE</t>
        </is>
      </c>
      <c r="B243" t="inlineStr">
        <is>
          <t>2026-10-09</t>
        </is>
      </c>
      <c r="C243" t="n">
        <v>4</v>
      </c>
      <c r="D243" t="n">
        <v>1</v>
      </c>
      <c r="E243" t="n">
        <v>5</v>
      </c>
      <c r="F243" t="n">
        <v>1004</v>
      </c>
      <c r="G243" t="n">
        <v>0</v>
      </c>
      <c r="H243" t="n">
        <v>0</v>
      </c>
      <c r="I243" t="n">
        <v>1132</v>
      </c>
      <c r="J243" t="n">
        <v>1132</v>
      </c>
      <c r="K243" t="n">
        <v>1132</v>
      </c>
      <c r="L243">
        <f>MIN(F243,J243)</f>
        <v/>
      </c>
      <c r="M243">
        <f>MIN(K243,MAX(0,F243-(J243-K243)))</f>
        <v/>
      </c>
    </row>
    <row r="244">
      <c r="A244" t="inlineStr">
        <is>
          <t>HARBOR-OFFICE</t>
        </is>
      </c>
      <c r="B244" t="inlineStr">
        <is>
          <t>2026-10-09</t>
        </is>
      </c>
      <c r="C244" t="n">
        <v>4</v>
      </c>
      <c r="D244" t="n">
        <v>2</v>
      </c>
      <c r="E244" t="n">
        <v>5</v>
      </c>
      <c r="F244" t="n">
        <v>1004</v>
      </c>
      <c r="G244" t="n">
        <v>0</v>
      </c>
      <c r="H244" t="n">
        <v>0</v>
      </c>
      <c r="I244" t="n">
        <v>1183</v>
      </c>
      <c r="J244" t="n">
        <v>1183</v>
      </c>
      <c r="K244" t="n">
        <v>1183</v>
      </c>
      <c r="L244">
        <f>MIN(F244,J244)</f>
        <v/>
      </c>
      <c r="M244">
        <f>MIN(K244,MAX(0,F244-(J244-K244)))</f>
        <v/>
      </c>
    </row>
    <row r="245">
      <c r="A245" t="inlineStr">
        <is>
          <t>HARBOR-OFFICE</t>
        </is>
      </c>
      <c r="B245" t="inlineStr">
        <is>
          <t>2026-10-09</t>
        </is>
      </c>
      <c r="C245" t="n">
        <v>4</v>
      </c>
      <c r="D245" t="n">
        <v>3</v>
      </c>
      <c r="E245" t="n">
        <v>5</v>
      </c>
      <c r="F245" t="n">
        <v>1004</v>
      </c>
      <c r="G245" t="n">
        <v>0</v>
      </c>
      <c r="H245" t="n">
        <v>0</v>
      </c>
      <c r="I245" t="n">
        <v>1062</v>
      </c>
      <c r="J245" t="n">
        <v>1062</v>
      </c>
      <c r="K245" t="n">
        <v>1062</v>
      </c>
      <c r="L245">
        <f>MIN(F245,J245)</f>
        <v/>
      </c>
      <c r="M245">
        <f>MIN(K245,MAX(0,F245-(J245-K245)))</f>
        <v/>
      </c>
    </row>
    <row r="246">
      <c r="A246" t="inlineStr">
        <is>
          <t>HARBOR-OFFICE</t>
        </is>
      </c>
      <c r="B246" t="inlineStr">
        <is>
          <t>2026-10-09</t>
        </is>
      </c>
      <c r="C246" t="n">
        <v>4</v>
      </c>
      <c r="D246" t="n">
        <v>4</v>
      </c>
      <c r="E246" t="n">
        <v>5</v>
      </c>
      <c r="F246" t="n">
        <v>1004</v>
      </c>
      <c r="G246" t="n">
        <v>0</v>
      </c>
      <c r="H246" t="n">
        <v>0</v>
      </c>
      <c r="I246" t="n">
        <v>921</v>
      </c>
      <c r="J246" t="n">
        <v>921</v>
      </c>
      <c r="K246" t="n">
        <v>921</v>
      </c>
      <c r="L246">
        <f>MIN(F246,J246)</f>
        <v/>
      </c>
      <c r="M246">
        <f>MIN(K246,MAX(0,F246-(J246-K246)))</f>
        <v/>
      </c>
    </row>
    <row r="247">
      <c r="A247" t="inlineStr">
        <is>
          <t>HARBOR-OFFICE</t>
        </is>
      </c>
      <c r="B247" t="inlineStr">
        <is>
          <t>2026-10-09</t>
        </is>
      </c>
      <c r="C247" t="n">
        <v>4</v>
      </c>
      <c r="D247" t="n">
        <v>5</v>
      </c>
      <c r="E247" t="n">
        <v>5</v>
      </c>
      <c r="F247" t="n">
        <v>1004</v>
      </c>
      <c r="G247" t="n">
        <v>2</v>
      </c>
      <c r="H247" t="n">
        <v>0</v>
      </c>
      <c r="I247" t="n">
        <v>854</v>
      </c>
      <c r="J247" t="n">
        <v>856</v>
      </c>
      <c r="K247" t="n">
        <v>854</v>
      </c>
      <c r="L247">
        <f>MIN(F247,J247)</f>
        <v/>
      </c>
      <c r="M247">
        <f>MIN(K247,MAX(0,F247-(J247-K247)))</f>
        <v/>
      </c>
    </row>
    <row r="248">
      <c r="A248" t="inlineStr">
        <is>
          <t>HARBOR-OFFICE</t>
        </is>
      </c>
      <c r="B248" t="inlineStr">
        <is>
          <t>2026-10-09</t>
        </is>
      </c>
      <c r="C248" t="n">
        <v>4</v>
      </c>
      <c r="D248" t="n">
        <v>6</v>
      </c>
      <c r="E248" t="n">
        <v>5</v>
      </c>
      <c r="F248" t="n">
        <v>1004</v>
      </c>
      <c r="G248" t="n">
        <v>156</v>
      </c>
      <c r="H248" t="n">
        <v>0</v>
      </c>
      <c r="I248" t="n">
        <v>852</v>
      </c>
      <c r="J248" t="n">
        <v>1008</v>
      </c>
      <c r="K248" t="n">
        <v>852</v>
      </c>
      <c r="L248">
        <f>MIN(F248,J248)</f>
        <v/>
      </c>
      <c r="M248">
        <f>MIN(K248,MAX(0,F248-(J248-K248)))</f>
        <v/>
      </c>
    </row>
    <row r="249">
      <c r="A249" t="inlineStr">
        <is>
          <t>HARBOR-OFFICE</t>
        </is>
      </c>
      <c r="B249" t="inlineStr">
        <is>
          <t>2026-10-09</t>
        </is>
      </c>
      <c r="C249" t="n">
        <v>4</v>
      </c>
      <c r="D249" t="n">
        <v>7</v>
      </c>
      <c r="E249" t="n">
        <v>5</v>
      </c>
      <c r="F249" t="n">
        <v>1004</v>
      </c>
      <c r="G249" t="n">
        <v>1141</v>
      </c>
      <c r="H249" t="n">
        <v>0</v>
      </c>
      <c r="I249" t="n">
        <v>872</v>
      </c>
      <c r="J249" t="n">
        <v>2013</v>
      </c>
      <c r="K249" t="n">
        <v>872</v>
      </c>
      <c r="L249">
        <f>MIN(F249,J249)</f>
        <v/>
      </c>
      <c r="M249">
        <f>MIN(K249,MAX(0,F249-(J249-K249)))</f>
        <v/>
      </c>
    </row>
    <row r="250">
      <c r="A250" t="inlineStr">
        <is>
          <t>HARBOR-OFFICE</t>
        </is>
      </c>
      <c r="B250" t="inlineStr">
        <is>
          <t>2026-10-09</t>
        </is>
      </c>
      <c r="C250" t="n">
        <v>4</v>
      </c>
      <c r="D250" t="n">
        <v>8</v>
      </c>
      <c r="E250" t="n">
        <v>5</v>
      </c>
      <c r="F250" t="n">
        <v>5019</v>
      </c>
      <c r="G250" t="n">
        <v>2530</v>
      </c>
      <c r="H250" t="n">
        <v>0</v>
      </c>
      <c r="I250" t="n">
        <v>918</v>
      </c>
      <c r="J250" t="n">
        <v>3448</v>
      </c>
      <c r="K250" t="n">
        <v>918</v>
      </c>
      <c r="L250">
        <f>MIN(F250,J250)</f>
        <v/>
      </c>
      <c r="M250">
        <f>MIN(K250,MAX(0,F250-(J250-K250)))</f>
        <v/>
      </c>
    </row>
    <row r="251">
      <c r="A251" t="inlineStr">
        <is>
          <t>HARBOR-OFFICE</t>
        </is>
      </c>
      <c r="B251" t="inlineStr">
        <is>
          <t>2026-10-09</t>
        </is>
      </c>
      <c r="C251" t="n">
        <v>4</v>
      </c>
      <c r="D251" t="n">
        <v>9</v>
      </c>
      <c r="E251" t="n">
        <v>5</v>
      </c>
      <c r="F251" t="n">
        <v>5019</v>
      </c>
      <c r="G251" t="n">
        <v>3622</v>
      </c>
      <c r="H251" t="n">
        <v>0</v>
      </c>
      <c r="I251" t="n">
        <v>892</v>
      </c>
      <c r="J251" t="n">
        <v>4514</v>
      </c>
      <c r="K251" t="n">
        <v>892</v>
      </c>
      <c r="L251">
        <f>MIN(F251,J251)</f>
        <v/>
      </c>
      <c r="M251">
        <f>MIN(K251,MAX(0,F251-(J251-K251)))</f>
        <v/>
      </c>
    </row>
    <row r="252">
      <c r="A252" t="inlineStr">
        <is>
          <t>HARBOR-OFFICE</t>
        </is>
      </c>
      <c r="B252" t="inlineStr">
        <is>
          <t>2026-10-09</t>
        </is>
      </c>
      <c r="C252" t="n">
        <v>4</v>
      </c>
      <c r="D252" t="n">
        <v>10</v>
      </c>
      <c r="E252" t="n">
        <v>5</v>
      </c>
      <c r="F252" t="n">
        <v>5019</v>
      </c>
      <c r="G252" t="n">
        <v>4280</v>
      </c>
      <c r="H252" t="n">
        <v>0</v>
      </c>
      <c r="I252" t="n">
        <v>931</v>
      </c>
      <c r="J252" t="n">
        <v>5211</v>
      </c>
      <c r="K252" t="n">
        <v>931</v>
      </c>
      <c r="L252">
        <f>MIN(F252,J252)</f>
        <v/>
      </c>
      <c r="M252">
        <f>MIN(K252,MAX(0,F252-(J252-K252)))</f>
        <v/>
      </c>
    </row>
    <row r="253">
      <c r="A253" t="inlineStr">
        <is>
          <t>HARBOR-OFFICE</t>
        </is>
      </c>
      <c r="B253" t="inlineStr">
        <is>
          <t>2026-10-09</t>
        </is>
      </c>
      <c r="C253" t="n">
        <v>4</v>
      </c>
      <c r="D253" t="n">
        <v>11</v>
      </c>
      <c r="E253" t="n">
        <v>5</v>
      </c>
      <c r="F253" t="n">
        <v>5019</v>
      </c>
      <c r="G253" t="n">
        <v>4500</v>
      </c>
      <c r="H253" t="n">
        <v>0</v>
      </c>
      <c r="I253" t="n">
        <v>1018</v>
      </c>
      <c r="J253" t="n">
        <v>5518</v>
      </c>
      <c r="K253" t="n">
        <v>1018</v>
      </c>
      <c r="L253">
        <f>MIN(F253,J253)</f>
        <v/>
      </c>
      <c r="M253">
        <f>MIN(K253,MAX(0,F253-(J253-K253)))</f>
        <v/>
      </c>
    </row>
    <row r="254">
      <c r="A254" t="inlineStr">
        <is>
          <t>HARBOR-OFFICE</t>
        </is>
      </c>
      <c r="B254" t="inlineStr">
        <is>
          <t>2026-10-09</t>
        </is>
      </c>
      <c r="C254" t="n">
        <v>4</v>
      </c>
      <c r="D254" t="n">
        <v>12</v>
      </c>
      <c r="E254" t="n">
        <v>5</v>
      </c>
      <c r="F254" t="n">
        <v>5019</v>
      </c>
      <c r="G254" t="n">
        <v>4492</v>
      </c>
      <c r="H254" t="n">
        <v>0</v>
      </c>
      <c r="I254" t="n">
        <v>1025</v>
      </c>
      <c r="J254" t="n">
        <v>5517</v>
      </c>
      <c r="K254" t="n">
        <v>1025</v>
      </c>
      <c r="L254">
        <f>MIN(F254,J254)</f>
        <v/>
      </c>
      <c r="M254">
        <f>MIN(K254,MAX(0,F254-(J254-K254)))</f>
        <v/>
      </c>
    </row>
    <row r="255">
      <c r="A255" t="inlineStr">
        <is>
          <t>HARBOR-OFFICE</t>
        </is>
      </c>
      <c r="B255" t="inlineStr">
        <is>
          <t>2026-10-09</t>
        </is>
      </c>
      <c r="C255" t="n">
        <v>4</v>
      </c>
      <c r="D255" t="n">
        <v>13</v>
      </c>
      <c r="E255" t="n">
        <v>5</v>
      </c>
      <c r="F255" t="n">
        <v>5019</v>
      </c>
      <c r="G255" t="n">
        <v>4142</v>
      </c>
      <c r="H255" t="n">
        <v>0</v>
      </c>
      <c r="I255" t="n">
        <v>1073</v>
      </c>
      <c r="J255" t="n">
        <v>5215</v>
      </c>
      <c r="K255" t="n">
        <v>1073</v>
      </c>
      <c r="L255">
        <f>MIN(F255,J255)</f>
        <v/>
      </c>
      <c r="M255">
        <f>MIN(K255,MAX(0,F255-(J255-K255)))</f>
        <v/>
      </c>
    </row>
    <row r="256">
      <c r="A256" t="inlineStr">
        <is>
          <t>HARBOR-OFFICE</t>
        </is>
      </c>
      <c r="B256" t="inlineStr">
        <is>
          <t>2026-10-09</t>
        </is>
      </c>
      <c r="C256" t="n">
        <v>4</v>
      </c>
      <c r="D256" t="n">
        <v>14</v>
      </c>
      <c r="E256" t="n">
        <v>5</v>
      </c>
      <c r="F256" t="n">
        <v>5019</v>
      </c>
      <c r="G256" t="n">
        <v>3540</v>
      </c>
      <c r="H256" t="n">
        <v>0</v>
      </c>
      <c r="I256" t="n">
        <v>1164</v>
      </c>
      <c r="J256" t="n">
        <v>4704</v>
      </c>
      <c r="K256" t="n">
        <v>1164</v>
      </c>
      <c r="L256">
        <f>MIN(F256,J256)</f>
        <v/>
      </c>
      <c r="M256">
        <f>MIN(K256,MAX(0,F256-(J256-K256)))</f>
        <v/>
      </c>
    </row>
    <row r="257">
      <c r="A257" t="inlineStr">
        <is>
          <t>HARBOR-OFFICE</t>
        </is>
      </c>
      <c r="B257" t="inlineStr">
        <is>
          <t>2026-10-09</t>
        </is>
      </c>
      <c r="C257" t="n">
        <v>4</v>
      </c>
      <c r="D257" t="n">
        <v>15</v>
      </c>
      <c r="E257" t="n">
        <v>5</v>
      </c>
      <c r="F257" t="n">
        <v>5019</v>
      </c>
      <c r="G257" t="n">
        <v>2477</v>
      </c>
      <c r="H257" t="n">
        <v>0</v>
      </c>
      <c r="I257" t="n">
        <v>1304</v>
      </c>
      <c r="J257" t="n">
        <v>3781</v>
      </c>
      <c r="K257" t="n">
        <v>1304</v>
      </c>
      <c r="L257">
        <f>MIN(F257,J257)</f>
        <v/>
      </c>
      <c r="M257">
        <f>MIN(K257,MAX(0,F257-(J257-K257)))</f>
        <v/>
      </c>
    </row>
    <row r="258">
      <c r="A258" t="inlineStr">
        <is>
          <t>HARBOR-OFFICE</t>
        </is>
      </c>
      <c r="B258" t="inlineStr">
        <is>
          <t>2026-10-09</t>
        </is>
      </c>
      <c r="C258" t="n">
        <v>4</v>
      </c>
      <c r="D258" t="n">
        <v>16</v>
      </c>
      <c r="E258" t="n">
        <v>5</v>
      </c>
      <c r="F258" t="n">
        <v>5019</v>
      </c>
      <c r="G258" t="n">
        <v>1235</v>
      </c>
      <c r="H258" t="n">
        <v>0</v>
      </c>
      <c r="I258" t="n">
        <v>1573</v>
      </c>
      <c r="J258" t="n">
        <v>2808</v>
      </c>
      <c r="K258" t="n">
        <v>1573</v>
      </c>
      <c r="L258">
        <f>MIN(F258,J258)</f>
        <v/>
      </c>
      <c r="M258">
        <f>MIN(K258,MAX(0,F258-(J258-K258)))</f>
        <v/>
      </c>
    </row>
    <row r="259">
      <c r="A259" t="inlineStr">
        <is>
          <t>HARBOR-OFFICE</t>
        </is>
      </c>
      <c r="B259" t="inlineStr">
        <is>
          <t>2026-10-09</t>
        </is>
      </c>
      <c r="C259" t="n">
        <v>4</v>
      </c>
      <c r="D259" t="n">
        <v>17</v>
      </c>
      <c r="E259" t="n">
        <v>5</v>
      </c>
      <c r="F259" t="n">
        <v>5019</v>
      </c>
      <c r="G259" t="n">
        <v>231</v>
      </c>
      <c r="H259" t="n">
        <v>0</v>
      </c>
      <c r="I259" t="n">
        <v>1631</v>
      </c>
      <c r="J259" t="n">
        <v>1862</v>
      </c>
      <c r="K259" t="n">
        <v>1631</v>
      </c>
      <c r="L259">
        <f>MIN(F259,J259)</f>
        <v/>
      </c>
      <c r="M259">
        <f>MIN(K259,MAX(0,F259-(J259-K259)))</f>
        <v/>
      </c>
    </row>
    <row r="260">
      <c r="A260" t="inlineStr">
        <is>
          <t>HARBOR-OFFICE</t>
        </is>
      </c>
      <c r="B260" t="inlineStr">
        <is>
          <t>2026-10-09</t>
        </is>
      </c>
      <c r="C260" t="n">
        <v>4</v>
      </c>
      <c r="D260" t="n">
        <v>18</v>
      </c>
      <c r="E260" t="n">
        <v>5</v>
      </c>
      <c r="F260" t="n">
        <v>5019</v>
      </c>
      <c r="G260" t="n">
        <v>0</v>
      </c>
      <c r="H260" t="n">
        <v>0</v>
      </c>
      <c r="I260" t="n">
        <v>1670</v>
      </c>
      <c r="J260" t="n">
        <v>1670</v>
      </c>
      <c r="K260" t="n">
        <v>1670</v>
      </c>
      <c r="L260">
        <f>MIN(F260,J260)</f>
        <v/>
      </c>
      <c r="M260">
        <f>MIN(K260,MAX(0,F260-(J260-K260)))</f>
        <v/>
      </c>
    </row>
    <row r="261">
      <c r="A261" t="inlineStr">
        <is>
          <t>HARBOR-OFFICE</t>
        </is>
      </c>
      <c r="B261" t="inlineStr">
        <is>
          <t>2026-10-09</t>
        </is>
      </c>
      <c r="C261" t="n">
        <v>4</v>
      </c>
      <c r="D261" t="n">
        <v>19</v>
      </c>
      <c r="E261" t="n">
        <v>5</v>
      </c>
      <c r="F261" t="n">
        <v>1004</v>
      </c>
      <c r="G261" t="n">
        <v>0</v>
      </c>
      <c r="H261" t="n">
        <v>0</v>
      </c>
      <c r="I261" t="n">
        <v>1671</v>
      </c>
      <c r="J261" t="n">
        <v>1671</v>
      </c>
      <c r="K261" t="n">
        <v>1671</v>
      </c>
      <c r="L261">
        <f>MIN(F261,J261)</f>
        <v/>
      </c>
      <c r="M261">
        <f>MIN(K261,MAX(0,F261-(J261-K261)))</f>
        <v/>
      </c>
    </row>
    <row r="262">
      <c r="A262" t="inlineStr">
        <is>
          <t>HARBOR-OFFICE</t>
        </is>
      </c>
      <c r="B262" t="inlineStr">
        <is>
          <t>2026-10-09</t>
        </is>
      </c>
      <c r="C262" t="n">
        <v>4</v>
      </c>
      <c r="D262" t="n">
        <v>20</v>
      </c>
      <c r="E262" t="n">
        <v>5</v>
      </c>
      <c r="F262" t="n">
        <v>1004</v>
      </c>
      <c r="G262" t="n">
        <v>0</v>
      </c>
      <c r="H262" t="n">
        <v>0</v>
      </c>
      <c r="I262" t="n">
        <v>1611</v>
      </c>
      <c r="J262" t="n">
        <v>1611</v>
      </c>
      <c r="K262" t="n">
        <v>1611</v>
      </c>
      <c r="L262">
        <f>MIN(F262,J262)</f>
        <v/>
      </c>
      <c r="M262">
        <f>MIN(K262,MAX(0,F262-(J262-K262)))</f>
        <v/>
      </c>
    </row>
    <row r="263">
      <c r="A263" t="inlineStr">
        <is>
          <t>HARBOR-OFFICE</t>
        </is>
      </c>
      <c r="B263" t="inlineStr">
        <is>
          <t>2026-10-09</t>
        </is>
      </c>
      <c r="C263" t="n">
        <v>4</v>
      </c>
      <c r="D263" t="n">
        <v>21</v>
      </c>
      <c r="E263" t="n">
        <v>5</v>
      </c>
      <c r="F263" t="n">
        <v>1004</v>
      </c>
      <c r="G263" t="n">
        <v>0</v>
      </c>
      <c r="H263" t="n">
        <v>0</v>
      </c>
      <c r="I263" t="n">
        <v>1434</v>
      </c>
      <c r="J263" t="n">
        <v>1434</v>
      </c>
      <c r="K263" t="n">
        <v>1434</v>
      </c>
      <c r="L263">
        <f>MIN(F263,J263)</f>
        <v/>
      </c>
      <c r="M263">
        <f>MIN(K263,MAX(0,F263-(J263-K263)))</f>
        <v/>
      </c>
    </row>
    <row r="264">
      <c r="A264" t="inlineStr">
        <is>
          <t>HARBOR-OFFICE</t>
        </is>
      </c>
      <c r="B264" t="inlineStr">
        <is>
          <t>2026-10-09</t>
        </is>
      </c>
      <c r="C264" t="n">
        <v>4</v>
      </c>
      <c r="D264" t="n">
        <v>22</v>
      </c>
      <c r="E264" t="n">
        <v>5</v>
      </c>
      <c r="F264" t="n">
        <v>1004</v>
      </c>
      <c r="G264" t="n">
        <v>0</v>
      </c>
      <c r="H264" t="n">
        <v>0</v>
      </c>
      <c r="I264" t="n">
        <v>1351</v>
      </c>
      <c r="J264" t="n">
        <v>1351</v>
      </c>
      <c r="K264" t="n">
        <v>1351</v>
      </c>
      <c r="L264">
        <f>MIN(F264,J264)</f>
        <v/>
      </c>
      <c r="M264">
        <f>MIN(K264,MAX(0,F264-(J264-K264)))</f>
        <v/>
      </c>
    </row>
    <row r="265">
      <c r="A265" t="inlineStr">
        <is>
          <t>HARBOR-OFFICE</t>
        </is>
      </c>
      <c r="B265" t="inlineStr">
        <is>
          <t>2026-10-09</t>
        </is>
      </c>
      <c r="C265" t="n">
        <v>4</v>
      </c>
      <c r="D265" t="n">
        <v>23</v>
      </c>
      <c r="E265" t="n">
        <v>5</v>
      </c>
      <c r="F265" t="n">
        <v>1004</v>
      </c>
      <c r="G265" t="n">
        <v>0</v>
      </c>
      <c r="H265" t="n">
        <v>0</v>
      </c>
      <c r="I265" t="n">
        <v>1170</v>
      </c>
      <c r="J265" t="n">
        <v>1170</v>
      </c>
      <c r="K265" t="n">
        <v>1170</v>
      </c>
      <c r="L265">
        <f>MIN(F265,J265)</f>
        <v/>
      </c>
      <c r="M265">
        <f>MIN(K265,MAX(0,F265-(J265-K265)))</f>
        <v/>
      </c>
    </row>
    <row r="266">
      <c r="A266" t="inlineStr">
        <is>
          <t>HARBOR-OFFICE</t>
        </is>
      </c>
      <c r="B266" t="inlineStr">
        <is>
          <t>2026-10-10</t>
        </is>
      </c>
      <c r="C266" t="n">
        <v>5</v>
      </c>
      <c r="D266" t="n">
        <v>0</v>
      </c>
      <c r="E266" t="n">
        <v>6</v>
      </c>
      <c r="F266" t="n">
        <v>1004</v>
      </c>
      <c r="G266" t="n">
        <v>0</v>
      </c>
      <c r="H266" t="n">
        <v>0</v>
      </c>
      <c r="I266" t="n">
        <v>1150</v>
      </c>
      <c r="J266" t="n">
        <v>1150</v>
      </c>
      <c r="K266" t="n">
        <v>1150</v>
      </c>
      <c r="L266">
        <f>MIN(F266,J266)</f>
        <v/>
      </c>
      <c r="M266">
        <f>MIN(K266,MAX(0,F266-(J266-K266)))</f>
        <v/>
      </c>
    </row>
    <row r="267">
      <c r="A267" t="inlineStr">
        <is>
          <t>HARBOR-OFFICE</t>
        </is>
      </c>
      <c r="B267" t="inlineStr">
        <is>
          <t>2026-10-10</t>
        </is>
      </c>
      <c r="C267" t="n">
        <v>5</v>
      </c>
      <c r="D267" t="n">
        <v>1</v>
      </c>
      <c r="E267" t="n">
        <v>6</v>
      </c>
      <c r="F267" t="n">
        <v>1004</v>
      </c>
      <c r="G267" t="n">
        <v>0</v>
      </c>
      <c r="H267" t="n">
        <v>0</v>
      </c>
      <c r="I267" t="n">
        <v>1088</v>
      </c>
      <c r="J267" t="n">
        <v>1088</v>
      </c>
      <c r="K267" t="n">
        <v>1088</v>
      </c>
      <c r="L267">
        <f>MIN(F267,J267)</f>
        <v/>
      </c>
      <c r="M267">
        <f>MIN(K267,MAX(0,F267-(J267-K267)))</f>
        <v/>
      </c>
    </row>
    <row r="268">
      <c r="A268" t="inlineStr">
        <is>
          <t>HARBOR-OFFICE</t>
        </is>
      </c>
      <c r="B268" t="inlineStr">
        <is>
          <t>2026-10-10</t>
        </is>
      </c>
      <c r="C268" t="n">
        <v>5</v>
      </c>
      <c r="D268" t="n">
        <v>2</v>
      </c>
      <c r="E268" t="n">
        <v>6</v>
      </c>
      <c r="F268" t="n">
        <v>1004</v>
      </c>
      <c r="G268" t="n">
        <v>0</v>
      </c>
      <c r="H268" t="n">
        <v>0</v>
      </c>
      <c r="I268" t="n">
        <v>1115</v>
      </c>
      <c r="J268" t="n">
        <v>1115</v>
      </c>
      <c r="K268" t="n">
        <v>1115</v>
      </c>
      <c r="L268">
        <f>MIN(F268,J268)</f>
        <v/>
      </c>
      <c r="M268">
        <f>MIN(K268,MAX(0,F268-(J268-K268)))</f>
        <v/>
      </c>
    </row>
    <row r="269">
      <c r="A269" t="inlineStr">
        <is>
          <t>HARBOR-OFFICE</t>
        </is>
      </c>
      <c r="B269" t="inlineStr">
        <is>
          <t>2026-10-10</t>
        </is>
      </c>
      <c r="C269" t="n">
        <v>5</v>
      </c>
      <c r="D269" t="n">
        <v>3</v>
      </c>
      <c r="E269" t="n">
        <v>6</v>
      </c>
      <c r="F269" t="n">
        <v>1004</v>
      </c>
      <c r="G269" t="n">
        <v>0</v>
      </c>
      <c r="H269" t="n">
        <v>0</v>
      </c>
      <c r="I269" t="n">
        <v>1123</v>
      </c>
      <c r="J269" t="n">
        <v>1123</v>
      </c>
      <c r="K269" t="n">
        <v>1123</v>
      </c>
      <c r="L269">
        <f>MIN(F269,J269)</f>
        <v/>
      </c>
      <c r="M269">
        <f>MIN(K269,MAX(0,F269-(J269-K269)))</f>
        <v/>
      </c>
    </row>
    <row r="270">
      <c r="A270" t="inlineStr">
        <is>
          <t>HARBOR-OFFICE</t>
        </is>
      </c>
      <c r="B270" t="inlineStr">
        <is>
          <t>2026-10-10</t>
        </is>
      </c>
      <c r="C270" t="n">
        <v>5</v>
      </c>
      <c r="D270" t="n">
        <v>4</v>
      </c>
      <c r="E270" t="n">
        <v>6</v>
      </c>
      <c r="F270" t="n">
        <v>1004</v>
      </c>
      <c r="G270" t="n">
        <v>0</v>
      </c>
      <c r="H270" t="n">
        <v>0</v>
      </c>
      <c r="I270" t="n">
        <v>1123</v>
      </c>
      <c r="J270" t="n">
        <v>1123</v>
      </c>
      <c r="K270" t="n">
        <v>1123</v>
      </c>
      <c r="L270">
        <f>MIN(F270,J270)</f>
        <v/>
      </c>
      <c r="M270">
        <f>MIN(K270,MAX(0,F270-(J270-K270)))</f>
        <v/>
      </c>
    </row>
    <row r="271">
      <c r="A271" t="inlineStr">
        <is>
          <t>HARBOR-OFFICE</t>
        </is>
      </c>
      <c r="B271" t="inlineStr">
        <is>
          <t>2026-10-10</t>
        </is>
      </c>
      <c r="C271" t="n">
        <v>5</v>
      </c>
      <c r="D271" t="n">
        <v>5</v>
      </c>
      <c r="E271" t="n">
        <v>6</v>
      </c>
      <c r="F271" t="n">
        <v>1004</v>
      </c>
      <c r="G271" t="n">
        <v>4</v>
      </c>
      <c r="H271" t="n">
        <v>0</v>
      </c>
      <c r="I271" t="n">
        <v>1133</v>
      </c>
      <c r="J271" t="n">
        <v>1137</v>
      </c>
      <c r="K271" t="n">
        <v>1133</v>
      </c>
      <c r="L271">
        <f>MIN(F271,J271)</f>
        <v/>
      </c>
      <c r="M271">
        <f>MIN(K271,MAX(0,F271-(J271-K271)))</f>
        <v/>
      </c>
    </row>
    <row r="272">
      <c r="A272" t="inlineStr">
        <is>
          <t>HARBOR-OFFICE</t>
        </is>
      </c>
      <c r="B272" t="inlineStr">
        <is>
          <t>2026-10-10</t>
        </is>
      </c>
      <c r="C272" t="n">
        <v>5</v>
      </c>
      <c r="D272" t="n">
        <v>6</v>
      </c>
      <c r="E272" t="n">
        <v>6</v>
      </c>
      <c r="F272" t="n">
        <v>1004</v>
      </c>
      <c r="G272" t="n">
        <v>140</v>
      </c>
      <c r="H272" t="n">
        <v>0</v>
      </c>
      <c r="I272" t="n">
        <v>1008</v>
      </c>
      <c r="J272" t="n">
        <v>1148</v>
      </c>
      <c r="K272" t="n">
        <v>1008</v>
      </c>
      <c r="L272">
        <f>MIN(F272,J272)</f>
        <v/>
      </c>
      <c r="M272">
        <f>MIN(K272,MAX(0,F272-(J272-K272)))</f>
        <v/>
      </c>
    </row>
    <row r="273">
      <c r="A273" t="inlineStr">
        <is>
          <t>HARBOR-OFFICE</t>
        </is>
      </c>
      <c r="B273" t="inlineStr">
        <is>
          <t>2026-10-10</t>
        </is>
      </c>
      <c r="C273" t="n">
        <v>5</v>
      </c>
      <c r="D273" t="n">
        <v>7</v>
      </c>
      <c r="E273" t="n">
        <v>6</v>
      </c>
      <c r="F273" t="n">
        <v>1004</v>
      </c>
      <c r="G273" t="n">
        <v>1125</v>
      </c>
      <c r="H273" t="n">
        <v>0</v>
      </c>
      <c r="I273" t="n">
        <v>995</v>
      </c>
      <c r="J273" t="n">
        <v>2120</v>
      </c>
      <c r="K273" t="n">
        <v>995</v>
      </c>
      <c r="L273">
        <f>MIN(F273,J273)</f>
        <v/>
      </c>
      <c r="M273">
        <f>MIN(K273,MAX(0,F273-(J273-K273)))</f>
        <v/>
      </c>
    </row>
    <row r="274">
      <c r="A274" t="inlineStr">
        <is>
          <t>HARBOR-OFFICE</t>
        </is>
      </c>
      <c r="B274" t="inlineStr">
        <is>
          <t>2026-10-10</t>
        </is>
      </c>
      <c r="C274" t="n">
        <v>5</v>
      </c>
      <c r="D274" t="n">
        <v>8</v>
      </c>
      <c r="E274" t="n">
        <v>6</v>
      </c>
      <c r="F274" t="n">
        <v>1004</v>
      </c>
      <c r="G274" t="n">
        <v>2422</v>
      </c>
      <c r="H274" t="n">
        <v>0</v>
      </c>
      <c r="I274" t="n">
        <v>987</v>
      </c>
      <c r="J274" t="n">
        <v>3409</v>
      </c>
      <c r="K274" t="n">
        <v>987</v>
      </c>
      <c r="L274">
        <f>MIN(F274,J274)</f>
        <v/>
      </c>
      <c r="M274">
        <f>MIN(K274,MAX(0,F274-(J274-K274)))</f>
        <v/>
      </c>
    </row>
    <row r="275">
      <c r="A275" t="inlineStr">
        <is>
          <t>HARBOR-OFFICE</t>
        </is>
      </c>
      <c r="B275" t="inlineStr">
        <is>
          <t>2026-10-10</t>
        </is>
      </c>
      <c r="C275" t="n">
        <v>5</v>
      </c>
      <c r="D275" t="n">
        <v>9</v>
      </c>
      <c r="E275" t="n">
        <v>6</v>
      </c>
      <c r="F275" t="n">
        <v>1004</v>
      </c>
      <c r="G275" t="n">
        <v>3509</v>
      </c>
      <c r="H275" t="n">
        <v>0</v>
      </c>
      <c r="I275" t="n">
        <v>996</v>
      </c>
      <c r="J275" t="n">
        <v>4505</v>
      </c>
      <c r="K275" t="n">
        <v>996</v>
      </c>
      <c r="L275">
        <f>MIN(F275,J275)</f>
        <v/>
      </c>
      <c r="M275">
        <f>MIN(K275,MAX(0,F275-(J275-K275)))</f>
        <v/>
      </c>
    </row>
    <row r="276">
      <c r="A276" t="inlineStr">
        <is>
          <t>HARBOR-OFFICE</t>
        </is>
      </c>
      <c r="B276" t="inlineStr">
        <is>
          <t>2026-10-10</t>
        </is>
      </c>
      <c r="C276" t="n">
        <v>5</v>
      </c>
      <c r="D276" t="n">
        <v>10</v>
      </c>
      <c r="E276" t="n">
        <v>6</v>
      </c>
      <c r="F276" t="n">
        <v>1004</v>
      </c>
      <c r="G276" t="n">
        <v>4147</v>
      </c>
      <c r="H276" t="n">
        <v>0</v>
      </c>
      <c r="I276" t="n">
        <v>987</v>
      </c>
      <c r="J276" t="n">
        <v>5134</v>
      </c>
      <c r="K276" t="n">
        <v>987</v>
      </c>
      <c r="L276">
        <f>MIN(F276,J276)</f>
        <v/>
      </c>
      <c r="M276">
        <f>MIN(K276,MAX(0,F276-(J276-K276)))</f>
        <v/>
      </c>
    </row>
    <row r="277">
      <c r="A277" t="inlineStr">
        <is>
          <t>HARBOR-OFFICE</t>
        </is>
      </c>
      <c r="B277" t="inlineStr">
        <is>
          <t>2026-10-10</t>
        </is>
      </c>
      <c r="C277" t="n">
        <v>5</v>
      </c>
      <c r="D277" t="n">
        <v>11</v>
      </c>
      <c r="E277" t="n">
        <v>6</v>
      </c>
      <c r="F277" t="n">
        <v>1004</v>
      </c>
      <c r="G277" t="n">
        <v>4437</v>
      </c>
      <c r="H277" t="n">
        <v>0</v>
      </c>
      <c r="I277" t="n">
        <v>995</v>
      </c>
      <c r="J277" t="n">
        <v>5432</v>
      </c>
      <c r="K277" t="n">
        <v>995</v>
      </c>
      <c r="L277">
        <f>MIN(F277,J277)</f>
        <v/>
      </c>
      <c r="M277">
        <f>MIN(K277,MAX(0,F277-(J277-K277)))</f>
        <v/>
      </c>
    </row>
    <row r="278">
      <c r="A278" t="inlineStr">
        <is>
          <t>HARBOR-OFFICE</t>
        </is>
      </c>
      <c r="B278" t="inlineStr">
        <is>
          <t>2026-10-10</t>
        </is>
      </c>
      <c r="C278" t="n">
        <v>5</v>
      </c>
      <c r="D278" t="n">
        <v>12</v>
      </c>
      <c r="E278" t="n">
        <v>6</v>
      </c>
      <c r="F278" t="n">
        <v>1004</v>
      </c>
      <c r="G278" t="n">
        <v>4350</v>
      </c>
      <c r="H278" t="n">
        <v>0</v>
      </c>
      <c r="I278" t="n">
        <v>957</v>
      </c>
      <c r="J278" t="n">
        <v>5307</v>
      </c>
      <c r="K278" t="n">
        <v>957</v>
      </c>
      <c r="L278">
        <f>MIN(F278,J278)</f>
        <v/>
      </c>
      <c r="M278">
        <f>MIN(K278,MAX(0,F278-(J278-K278)))</f>
        <v/>
      </c>
    </row>
    <row r="279">
      <c r="A279" t="inlineStr">
        <is>
          <t>HARBOR-OFFICE</t>
        </is>
      </c>
      <c r="B279" t="inlineStr">
        <is>
          <t>2026-10-10</t>
        </is>
      </c>
      <c r="C279" t="n">
        <v>5</v>
      </c>
      <c r="D279" t="n">
        <v>13</v>
      </c>
      <c r="E279" t="n">
        <v>6</v>
      </c>
      <c r="F279" t="n">
        <v>1004</v>
      </c>
      <c r="G279" t="n">
        <v>4024</v>
      </c>
      <c r="H279" t="n">
        <v>0</v>
      </c>
      <c r="I279" t="n">
        <v>952</v>
      </c>
      <c r="J279" t="n">
        <v>4976</v>
      </c>
      <c r="K279" t="n">
        <v>952</v>
      </c>
      <c r="L279">
        <f>MIN(F279,J279)</f>
        <v/>
      </c>
      <c r="M279">
        <f>MIN(K279,MAX(0,F279-(J279-K279)))</f>
        <v/>
      </c>
    </row>
    <row r="280">
      <c r="A280" t="inlineStr">
        <is>
          <t>HARBOR-OFFICE</t>
        </is>
      </c>
      <c r="B280" t="inlineStr">
        <is>
          <t>2026-10-10</t>
        </is>
      </c>
      <c r="C280" t="n">
        <v>5</v>
      </c>
      <c r="D280" t="n">
        <v>14</v>
      </c>
      <c r="E280" t="n">
        <v>6</v>
      </c>
      <c r="F280" t="n">
        <v>1004</v>
      </c>
      <c r="G280" t="n">
        <v>3493</v>
      </c>
      <c r="H280" t="n">
        <v>0</v>
      </c>
      <c r="I280" t="n">
        <v>954</v>
      </c>
      <c r="J280" t="n">
        <v>4447</v>
      </c>
      <c r="K280" t="n">
        <v>954</v>
      </c>
      <c r="L280">
        <f>MIN(F280,J280)</f>
        <v/>
      </c>
      <c r="M280">
        <f>MIN(K280,MAX(0,F280-(J280-K280)))</f>
        <v/>
      </c>
    </row>
    <row r="281">
      <c r="A281" t="inlineStr">
        <is>
          <t>HARBOR-OFFICE</t>
        </is>
      </c>
      <c r="B281" t="inlineStr">
        <is>
          <t>2026-10-10</t>
        </is>
      </c>
      <c r="C281" t="n">
        <v>5</v>
      </c>
      <c r="D281" t="n">
        <v>15</v>
      </c>
      <c r="E281" t="n">
        <v>6</v>
      </c>
      <c r="F281" t="n">
        <v>1004</v>
      </c>
      <c r="G281" t="n">
        <v>2511</v>
      </c>
      <c r="H281" t="n">
        <v>0</v>
      </c>
      <c r="I281" t="n">
        <v>1254</v>
      </c>
      <c r="J281" t="n">
        <v>3765</v>
      </c>
      <c r="K281" t="n">
        <v>1254</v>
      </c>
      <c r="L281">
        <f>MIN(F281,J281)</f>
        <v/>
      </c>
      <c r="M281">
        <f>MIN(K281,MAX(0,F281-(J281-K281)))</f>
        <v/>
      </c>
    </row>
    <row r="282">
      <c r="A282" t="inlineStr">
        <is>
          <t>HARBOR-OFFICE</t>
        </is>
      </c>
      <c r="B282" t="inlineStr">
        <is>
          <t>2026-10-10</t>
        </is>
      </c>
      <c r="C282" t="n">
        <v>5</v>
      </c>
      <c r="D282" t="n">
        <v>16</v>
      </c>
      <c r="E282" t="n">
        <v>6</v>
      </c>
      <c r="F282" t="n">
        <v>1004</v>
      </c>
      <c r="G282" t="n">
        <v>1224</v>
      </c>
      <c r="H282" t="n">
        <v>0</v>
      </c>
      <c r="I282" t="n">
        <v>1546</v>
      </c>
      <c r="J282" t="n">
        <v>2770</v>
      </c>
      <c r="K282" t="n">
        <v>1546</v>
      </c>
      <c r="L282">
        <f>MIN(F282,J282)</f>
        <v/>
      </c>
      <c r="M282">
        <f>MIN(K282,MAX(0,F282-(J282-K282)))</f>
        <v/>
      </c>
    </row>
    <row r="283">
      <c r="A283" t="inlineStr">
        <is>
          <t>HARBOR-OFFICE</t>
        </is>
      </c>
      <c r="B283" t="inlineStr">
        <is>
          <t>2026-10-10</t>
        </is>
      </c>
      <c r="C283" t="n">
        <v>5</v>
      </c>
      <c r="D283" t="n">
        <v>17</v>
      </c>
      <c r="E283" t="n">
        <v>6</v>
      </c>
      <c r="F283" t="n">
        <v>1004</v>
      </c>
      <c r="G283" t="n">
        <v>211</v>
      </c>
      <c r="H283" t="n">
        <v>0</v>
      </c>
      <c r="I283" t="n">
        <v>1629</v>
      </c>
      <c r="J283" t="n">
        <v>1840</v>
      </c>
      <c r="K283" t="n">
        <v>1629</v>
      </c>
      <c r="L283">
        <f>MIN(F283,J283)</f>
        <v/>
      </c>
      <c r="M283">
        <f>MIN(K283,MAX(0,F283-(J283-K283)))</f>
        <v/>
      </c>
    </row>
    <row r="284">
      <c r="A284" t="inlineStr">
        <is>
          <t>HARBOR-OFFICE</t>
        </is>
      </c>
      <c r="B284" t="inlineStr">
        <is>
          <t>2026-10-10</t>
        </is>
      </c>
      <c r="C284" t="n">
        <v>5</v>
      </c>
      <c r="D284" t="n">
        <v>18</v>
      </c>
      <c r="E284" t="n">
        <v>6</v>
      </c>
      <c r="F284" t="n">
        <v>1004</v>
      </c>
      <c r="G284" t="n">
        <v>0</v>
      </c>
      <c r="H284" t="n">
        <v>0</v>
      </c>
      <c r="I284" t="n">
        <v>1695</v>
      </c>
      <c r="J284" t="n">
        <v>1695</v>
      </c>
      <c r="K284" t="n">
        <v>1695</v>
      </c>
      <c r="L284">
        <f>MIN(F284,J284)</f>
        <v/>
      </c>
      <c r="M284">
        <f>MIN(K284,MAX(0,F284-(J284-K284)))</f>
        <v/>
      </c>
    </row>
    <row r="285">
      <c r="A285" t="inlineStr">
        <is>
          <t>HARBOR-OFFICE</t>
        </is>
      </c>
      <c r="B285" t="inlineStr">
        <is>
          <t>2026-10-10</t>
        </is>
      </c>
      <c r="C285" t="n">
        <v>5</v>
      </c>
      <c r="D285" t="n">
        <v>19</v>
      </c>
      <c r="E285" t="n">
        <v>6</v>
      </c>
      <c r="F285" t="n">
        <v>1004</v>
      </c>
      <c r="G285" t="n">
        <v>0</v>
      </c>
      <c r="H285" t="n">
        <v>0</v>
      </c>
      <c r="I285" t="n">
        <v>1702</v>
      </c>
      <c r="J285" t="n">
        <v>1702</v>
      </c>
      <c r="K285" t="n">
        <v>1702</v>
      </c>
      <c r="L285">
        <f>MIN(F285,J285)</f>
        <v/>
      </c>
      <c r="M285">
        <f>MIN(K285,MAX(0,F285-(J285-K285)))</f>
        <v/>
      </c>
    </row>
    <row r="286">
      <c r="A286" t="inlineStr">
        <is>
          <t>HARBOR-OFFICE</t>
        </is>
      </c>
      <c r="B286" t="inlineStr">
        <is>
          <t>2026-10-10</t>
        </is>
      </c>
      <c r="C286" t="n">
        <v>5</v>
      </c>
      <c r="D286" t="n">
        <v>20</v>
      </c>
      <c r="E286" t="n">
        <v>6</v>
      </c>
      <c r="F286" t="n">
        <v>1004</v>
      </c>
      <c r="G286" t="n">
        <v>0</v>
      </c>
      <c r="H286" t="n">
        <v>0</v>
      </c>
      <c r="I286" t="n">
        <v>1637</v>
      </c>
      <c r="J286" t="n">
        <v>1637</v>
      </c>
      <c r="K286" t="n">
        <v>1637</v>
      </c>
      <c r="L286">
        <f>MIN(F286,J286)</f>
        <v/>
      </c>
      <c r="M286">
        <f>MIN(K286,MAX(0,F286-(J286-K286)))</f>
        <v/>
      </c>
    </row>
    <row r="287">
      <c r="A287" t="inlineStr">
        <is>
          <t>HARBOR-OFFICE</t>
        </is>
      </c>
      <c r="B287" t="inlineStr">
        <is>
          <t>2026-10-10</t>
        </is>
      </c>
      <c r="C287" t="n">
        <v>5</v>
      </c>
      <c r="D287" t="n">
        <v>21</v>
      </c>
      <c r="E287" t="n">
        <v>6</v>
      </c>
      <c r="F287" t="n">
        <v>1004</v>
      </c>
      <c r="G287" t="n">
        <v>0</v>
      </c>
      <c r="H287" t="n">
        <v>0</v>
      </c>
      <c r="I287" t="n">
        <v>1470</v>
      </c>
      <c r="J287" t="n">
        <v>1470</v>
      </c>
      <c r="K287" t="n">
        <v>1470</v>
      </c>
      <c r="L287">
        <f>MIN(F287,J287)</f>
        <v/>
      </c>
      <c r="M287">
        <f>MIN(K287,MAX(0,F287-(J287-K287)))</f>
        <v/>
      </c>
    </row>
    <row r="288">
      <c r="A288" t="inlineStr">
        <is>
          <t>HARBOR-OFFICE</t>
        </is>
      </c>
      <c r="B288" t="inlineStr">
        <is>
          <t>2026-10-10</t>
        </is>
      </c>
      <c r="C288" t="n">
        <v>5</v>
      </c>
      <c r="D288" t="n">
        <v>22</v>
      </c>
      <c r="E288" t="n">
        <v>6</v>
      </c>
      <c r="F288" t="n">
        <v>1004</v>
      </c>
      <c r="G288" t="n">
        <v>0</v>
      </c>
      <c r="H288" t="n">
        <v>0</v>
      </c>
      <c r="I288" t="n">
        <v>1461</v>
      </c>
      <c r="J288" t="n">
        <v>1461</v>
      </c>
      <c r="K288" t="n">
        <v>1461</v>
      </c>
      <c r="L288">
        <f>MIN(F288,J288)</f>
        <v/>
      </c>
      <c r="M288">
        <f>MIN(K288,MAX(0,F288-(J288-K288)))</f>
        <v/>
      </c>
    </row>
    <row r="289">
      <c r="A289" t="inlineStr">
        <is>
          <t>HARBOR-OFFICE</t>
        </is>
      </c>
      <c r="B289" t="inlineStr">
        <is>
          <t>2026-10-10</t>
        </is>
      </c>
      <c r="C289" t="n">
        <v>5</v>
      </c>
      <c r="D289" t="n">
        <v>23</v>
      </c>
      <c r="E289" t="n">
        <v>6</v>
      </c>
      <c r="F289" t="n">
        <v>1004</v>
      </c>
      <c r="G289" t="n">
        <v>0</v>
      </c>
      <c r="H289" t="n">
        <v>0</v>
      </c>
      <c r="I289" t="n">
        <v>1444</v>
      </c>
      <c r="J289" t="n">
        <v>1444</v>
      </c>
      <c r="K289" t="n">
        <v>1444</v>
      </c>
      <c r="L289">
        <f>MIN(F289,J289)</f>
        <v/>
      </c>
      <c r="M289">
        <f>MIN(K289,MAX(0,F289-(J289-K289)))</f>
        <v/>
      </c>
    </row>
    <row r="290">
      <c r="A290" t="inlineStr">
        <is>
          <t>HARBOR-OFFICE</t>
        </is>
      </c>
      <c r="B290" t="inlineStr">
        <is>
          <t>2026-10-11</t>
        </is>
      </c>
      <c r="C290" t="n">
        <v>6</v>
      </c>
      <c r="D290" t="n">
        <v>0</v>
      </c>
      <c r="E290" t="n">
        <v>7</v>
      </c>
      <c r="F290" t="n">
        <v>1004</v>
      </c>
      <c r="G290" t="n">
        <v>0</v>
      </c>
      <c r="H290" t="n">
        <v>0</v>
      </c>
      <c r="I290" t="n">
        <v>1360</v>
      </c>
      <c r="J290" t="n">
        <v>1360</v>
      </c>
      <c r="K290" t="n">
        <v>1360</v>
      </c>
      <c r="L290">
        <f>MIN(F290,J290)</f>
        <v/>
      </c>
      <c r="M290">
        <f>MIN(K290,MAX(0,F290-(J290-K290)))</f>
        <v/>
      </c>
    </row>
    <row r="291">
      <c r="A291" t="inlineStr">
        <is>
          <t>HARBOR-OFFICE</t>
        </is>
      </c>
      <c r="B291" t="inlineStr">
        <is>
          <t>2026-10-11</t>
        </is>
      </c>
      <c r="C291" t="n">
        <v>6</v>
      </c>
      <c r="D291" t="n">
        <v>1</v>
      </c>
      <c r="E291" t="n">
        <v>7</v>
      </c>
      <c r="F291" t="n">
        <v>1004</v>
      </c>
      <c r="G291" t="n">
        <v>0</v>
      </c>
      <c r="H291" t="n">
        <v>0</v>
      </c>
      <c r="I291" t="n">
        <v>1374</v>
      </c>
      <c r="J291" t="n">
        <v>1374</v>
      </c>
      <c r="K291" t="n">
        <v>1374</v>
      </c>
      <c r="L291">
        <f>MIN(F291,J291)</f>
        <v/>
      </c>
      <c r="M291">
        <f>MIN(K291,MAX(0,F291-(J291-K291)))</f>
        <v/>
      </c>
    </row>
    <row r="292">
      <c r="A292" t="inlineStr">
        <is>
          <t>HARBOR-OFFICE</t>
        </is>
      </c>
      <c r="B292" t="inlineStr">
        <is>
          <t>2026-10-11</t>
        </is>
      </c>
      <c r="C292" t="n">
        <v>6</v>
      </c>
      <c r="D292" t="n">
        <v>2</v>
      </c>
      <c r="E292" t="n">
        <v>7</v>
      </c>
      <c r="F292" t="n">
        <v>1004</v>
      </c>
      <c r="G292" t="n">
        <v>0</v>
      </c>
      <c r="H292" t="n">
        <v>0</v>
      </c>
      <c r="I292" t="n">
        <v>1221</v>
      </c>
      <c r="J292" t="n">
        <v>1221</v>
      </c>
      <c r="K292" t="n">
        <v>1221</v>
      </c>
      <c r="L292">
        <f>MIN(F292,J292)</f>
        <v/>
      </c>
      <c r="M292">
        <f>MIN(K292,MAX(0,F292-(J292-K292)))</f>
        <v/>
      </c>
    </row>
    <row r="293">
      <c r="A293" t="inlineStr">
        <is>
          <t>HARBOR-OFFICE</t>
        </is>
      </c>
      <c r="B293" t="inlineStr">
        <is>
          <t>2026-10-11</t>
        </is>
      </c>
      <c r="C293" t="n">
        <v>6</v>
      </c>
      <c r="D293" t="n">
        <v>3</v>
      </c>
      <c r="E293" t="n">
        <v>7</v>
      </c>
      <c r="F293" t="n">
        <v>1004</v>
      </c>
      <c r="G293" t="n">
        <v>0</v>
      </c>
      <c r="H293" t="n">
        <v>0</v>
      </c>
      <c r="I293" t="n">
        <v>1169</v>
      </c>
      <c r="J293" t="n">
        <v>1169</v>
      </c>
      <c r="K293" t="n">
        <v>1169</v>
      </c>
      <c r="L293">
        <f>MIN(F293,J293)</f>
        <v/>
      </c>
      <c r="M293">
        <f>MIN(K293,MAX(0,F293-(J293-K293)))</f>
        <v/>
      </c>
    </row>
    <row r="294">
      <c r="A294" t="inlineStr">
        <is>
          <t>HARBOR-OFFICE</t>
        </is>
      </c>
      <c r="B294" t="inlineStr">
        <is>
          <t>2026-10-11</t>
        </is>
      </c>
      <c r="C294" t="n">
        <v>6</v>
      </c>
      <c r="D294" t="n">
        <v>4</v>
      </c>
      <c r="E294" t="n">
        <v>7</v>
      </c>
      <c r="F294" t="n">
        <v>1004</v>
      </c>
      <c r="G294" t="n">
        <v>0</v>
      </c>
      <c r="H294" t="n">
        <v>0</v>
      </c>
      <c r="I294" t="n">
        <v>1136</v>
      </c>
      <c r="J294" t="n">
        <v>1136</v>
      </c>
      <c r="K294" t="n">
        <v>1136</v>
      </c>
      <c r="L294">
        <f>MIN(F294,J294)</f>
        <v/>
      </c>
      <c r="M294">
        <f>MIN(K294,MAX(0,F294-(J294-K294)))</f>
        <v/>
      </c>
    </row>
    <row r="295">
      <c r="A295" t="inlineStr">
        <is>
          <t>HARBOR-OFFICE</t>
        </is>
      </c>
      <c r="B295" t="inlineStr">
        <is>
          <t>2026-10-11</t>
        </is>
      </c>
      <c r="C295" t="n">
        <v>6</v>
      </c>
      <c r="D295" t="n">
        <v>5</v>
      </c>
      <c r="E295" t="n">
        <v>7</v>
      </c>
      <c r="F295" t="n">
        <v>1004</v>
      </c>
      <c r="G295" t="n">
        <v>3</v>
      </c>
      <c r="H295" t="n">
        <v>0</v>
      </c>
      <c r="I295" t="n">
        <v>1144</v>
      </c>
      <c r="J295" t="n">
        <v>1147</v>
      </c>
      <c r="K295" t="n">
        <v>1144</v>
      </c>
      <c r="L295">
        <f>MIN(F295,J295)</f>
        <v/>
      </c>
      <c r="M295">
        <f>MIN(K295,MAX(0,F295-(J295-K295)))</f>
        <v/>
      </c>
    </row>
    <row r="296">
      <c r="A296" t="inlineStr">
        <is>
          <t>HARBOR-OFFICE</t>
        </is>
      </c>
      <c r="B296" t="inlineStr">
        <is>
          <t>2026-10-11</t>
        </is>
      </c>
      <c r="C296" t="n">
        <v>6</v>
      </c>
      <c r="D296" t="n">
        <v>6</v>
      </c>
      <c r="E296" t="n">
        <v>7</v>
      </c>
      <c r="F296" t="n">
        <v>1004</v>
      </c>
      <c r="G296" t="n">
        <v>133</v>
      </c>
      <c r="H296" t="n">
        <v>0</v>
      </c>
      <c r="I296" t="n">
        <v>1105</v>
      </c>
      <c r="J296" t="n">
        <v>1238</v>
      </c>
      <c r="K296" t="n">
        <v>1105</v>
      </c>
      <c r="L296">
        <f>MIN(F296,J296)</f>
        <v/>
      </c>
      <c r="M296">
        <f>MIN(K296,MAX(0,F296-(J296-K296)))</f>
        <v/>
      </c>
    </row>
    <row r="297">
      <c r="A297" t="inlineStr">
        <is>
          <t>HARBOR-OFFICE</t>
        </is>
      </c>
      <c r="B297" t="inlineStr">
        <is>
          <t>2026-10-11</t>
        </is>
      </c>
      <c r="C297" t="n">
        <v>6</v>
      </c>
      <c r="D297" t="n">
        <v>7</v>
      </c>
      <c r="E297" t="n">
        <v>7</v>
      </c>
      <c r="F297" t="n">
        <v>1004</v>
      </c>
      <c r="G297" t="n">
        <v>952</v>
      </c>
      <c r="H297" t="n">
        <v>0</v>
      </c>
      <c r="I297" t="n">
        <v>1035</v>
      </c>
      <c r="J297" t="n">
        <v>1987</v>
      </c>
      <c r="K297" t="n">
        <v>1035</v>
      </c>
      <c r="L297">
        <f>MIN(F297,J297)</f>
        <v/>
      </c>
      <c r="M297">
        <f>MIN(K297,MAX(0,F297-(J297-K297)))</f>
        <v/>
      </c>
    </row>
    <row r="298">
      <c r="A298" t="inlineStr">
        <is>
          <t>HARBOR-OFFICE</t>
        </is>
      </c>
      <c r="B298" t="inlineStr">
        <is>
          <t>2026-10-11</t>
        </is>
      </c>
      <c r="C298" t="n">
        <v>6</v>
      </c>
      <c r="D298" t="n">
        <v>8</v>
      </c>
      <c r="E298" t="n">
        <v>7</v>
      </c>
      <c r="F298" t="n">
        <v>1004</v>
      </c>
      <c r="G298" t="n">
        <v>2200</v>
      </c>
      <c r="H298" t="n">
        <v>0</v>
      </c>
      <c r="I298" t="n">
        <v>922</v>
      </c>
      <c r="J298" t="n">
        <v>3122</v>
      </c>
      <c r="K298" t="n">
        <v>922</v>
      </c>
      <c r="L298">
        <f>MIN(F298,J298)</f>
        <v/>
      </c>
      <c r="M298">
        <f>MIN(K298,MAX(0,F298-(J298-K298)))</f>
        <v/>
      </c>
    </row>
    <row r="299">
      <c r="A299" t="inlineStr">
        <is>
          <t>HARBOR-OFFICE</t>
        </is>
      </c>
      <c r="B299" t="inlineStr">
        <is>
          <t>2026-10-11</t>
        </is>
      </c>
      <c r="C299" t="n">
        <v>6</v>
      </c>
      <c r="D299" t="n">
        <v>9</v>
      </c>
      <c r="E299" t="n">
        <v>7</v>
      </c>
      <c r="F299" t="n">
        <v>1004</v>
      </c>
      <c r="G299" t="n">
        <v>3383</v>
      </c>
      <c r="H299" t="n">
        <v>0</v>
      </c>
      <c r="I299" t="n">
        <v>915</v>
      </c>
      <c r="J299" t="n">
        <v>4298</v>
      </c>
      <c r="K299" t="n">
        <v>915</v>
      </c>
      <c r="L299">
        <f>MIN(F299,J299)</f>
        <v/>
      </c>
      <c r="M299">
        <f>MIN(K299,MAX(0,F299-(J299-K299)))</f>
        <v/>
      </c>
    </row>
    <row r="300">
      <c r="A300" t="inlineStr">
        <is>
          <t>HARBOR-OFFICE</t>
        </is>
      </c>
      <c r="B300" t="inlineStr">
        <is>
          <t>2026-10-11</t>
        </is>
      </c>
      <c r="C300" t="n">
        <v>6</v>
      </c>
      <c r="D300" t="n">
        <v>10</v>
      </c>
      <c r="E300" t="n">
        <v>7</v>
      </c>
      <c r="F300" t="n">
        <v>1004</v>
      </c>
      <c r="G300" t="n">
        <v>4019</v>
      </c>
      <c r="H300" t="n">
        <v>0</v>
      </c>
      <c r="I300" t="n">
        <v>872</v>
      </c>
      <c r="J300" t="n">
        <v>4891</v>
      </c>
      <c r="K300" t="n">
        <v>872</v>
      </c>
      <c r="L300">
        <f>MIN(F300,J300)</f>
        <v/>
      </c>
      <c r="M300">
        <f>MIN(K300,MAX(0,F300-(J300-K300)))</f>
        <v/>
      </c>
    </row>
    <row r="301">
      <c r="A301" t="inlineStr">
        <is>
          <t>HARBOR-OFFICE</t>
        </is>
      </c>
      <c r="B301" t="inlineStr">
        <is>
          <t>2026-10-11</t>
        </is>
      </c>
      <c r="C301" t="n">
        <v>6</v>
      </c>
      <c r="D301" t="n">
        <v>11</v>
      </c>
      <c r="E301" t="n">
        <v>7</v>
      </c>
      <c r="F301" t="n">
        <v>1004</v>
      </c>
      <c r="G301" t="n">
        <v>4311</v>
      </c>
      <c r="H301" t="n">
        <v>0</v>
      </c>
      <c r="I301" t="n">
        <v>879</v>
      </c>
      <c r="J301" t="n">
        <v>5190</v>
      </c>
      <c r="K301" t="n">
        <v>879</v>
      </c>
      <c r="L301">
        <f>MIN(F301,J301)</f>
        <v/>
      </c>
      <c r="M301">
        <f>MIN(K301,MAX(0,F301-(J301-K301)))</f>
        <v/>
      </c>
    </row>
    <row r="302">
      <c r="A302" t="inlineStr">
        <is>
          <t>HARBOR-OFFICE</t>
        </is>
      </c>
      <c r="B302" t="inlineStr">
        <is>
          <t>2026-10-11</t>
        </is>
      </c>
      <c r="C302" t="n">
        <v>6</v>
      </c>
      <c r="D302" t="n">
        <v>12</v>
      </c>
      <c r="E302" t="n">
        <v>7</v>
      </c>
      <c r="F302" t="n">
        <v>1004</v>
      </c>
      <c r="G302" t="n">
        <v>4239</v>
      </c>
      <c r="H302" t="n">
        <v>0</v>
      </c>
      <c r="I302" t="n">
        <v>870</v>
      </c>
      <c r="J302" t="n">
        <v>5109</v>
      </c>
      <c r="K302" t="n">
        <v>870</v>
      </c>
      <c r="L302">
        <f>MIN(F302,J302)</f>
        <v/>
      </c>
      <c r="M302">
        <f>MIN(K302,MAX(0,F302-(J302-K302)))</f>
        <v/>
      </c>
    </row>
    <row r="303">
      <c r="A303" t="inlineStr">
        <is>
          <t>HARBOR-OFFICE</t>
        </is>
      </c>
      <c r="B303" t="inlineStr">
        <is>
          <t>2026-10-11</t>
        </is>
      </c>
      <c r="C303" t="n">
        <v>6</v>
      </c>
      <c r="D303" t="n">
        <v>13</v>
      </c>
      <c r="E303" t="n">
        <v>7</v>
      </c>
      <c r="F303" t="n">
        <v>1004</v>
      </c>
      <c r="G303" t="n">
        <v>3959</v>
      </c>
      <c r="H303" t="n">
        <v>0</v>
      </c>
      <c r="I303" t="n">
        <v>874</v>
      </c>
      <c r="J303" t="n">
        <v>4833</v>
      </c>
      <c r="K303" t="n">
        <v>874</v>
      </c>
      <c r="L303">
        <f>MIN(F303,J303)</f>
        <v/>
      </c>
      <c r="M303">
        <f>MIN(K303,MAX(0,F303-(J303-K303)))</f>
        <v/>
      </c>
    </row>
    <row r="304">
      <c r="A304" t="inlineStr">
        <is>
          <t>HARBOR-OFFICE</t>
        </is>
      </c>
      <c r="B304" t="inlineStr">
        <is>
          <t>2026-10-11</t>
        </is>
      </c>
      <c r="C304" t="n">
        <v>6</v>
      </c>
      <c r="D304" t="n">
        <v>14</v>
      </c>
      <c r="E304" t="n">
        <v>7</v>
      </c>
      <c r="F304" t="n">
        <v>1004</v>
      </c>
      <c r="G304" t="n">
        <v>3336</v>
      </c>
      <c r="H304" t="n">
        <v>0</v>
      </c>
      <c r="I304" t="n">
        <v>929</v>
      </c>
      <c r="J304" t="n">
        <v>4265</v>
      </c>
      <c r="K304" t="n">
        <v>929</v>
      </c>
      <c r="L304">
        <f>MIN(F304,J304)</f>
        <v/>
      </c>
      <c r="M304">
        <f>MIN(K304,MAX(0,F304-(J304-K304)))</f>
        <v/>
      </c>
    </row>
    <row r="305">
      <c r="A305" t="inlineStr">
        <is>
          <t>HARBOR-OFFICE</t>
        </is>
      </c>
      <c r="B305" t="inlineStr">
        <is>
          <t>2026-10-11</t>
        </is>
      </c>
      <c r="C305" t="n">
        <v>6</v>
      </c>
      <c r="D305" t="n">
        <v>15</v>
      </c>
      <c r="E305" t="n">
        <v>7</v>
      </c>
      <c r="F305" t="n">
        <v>1004</v>
      </c>
      <c r="G305" t="n">
        <v>2357</v>
      </c>
      <c r="H305" t="n">
        <v>0</v>
      </c>
      <c r="I305" t="n">
        <v>1032</v>
      </c>
      <c r="J305" t="n">
        <v>3389</v>
      </c>
      <c r="K305" t="n">
        <v>1032</v>
      </c>
      <c r="L305">
        <f>MIN(F305,J305)</f>
        <v/>
      </c>
      <c r="M305">
        <f>MIN(K305,MAX(0,F305-(J305-K305)))</f>
        <v/>
      </c>
    </row>
    <row r="306">
      <c r="A306" t="inlineStr">
        <is>
          <t>HARBOR-OFFICE</t>
        </is>
      </c>
      <c r="B306" t="inlineStr">
        <is>
          <t>2026-10-11</t>
        </is>
      </c>
      <c r="C306" t="n">
        <v>6</v>
      </c>
      <c r="D306" t="n">
        <v>16</v>
      </c>
      <c r="E306" t="n">
        <v>7</v>
      </c>
      <c r="F306" t="n">
        <v>1004</v>
      </c>
      <c r="G306" t="n">
        <v>1123</v>
      </c>
      <c r="H306" t="n">
        <v>0</v>
      </c>
      <c r="I306" t="n">
        <v>1179</v>
      </c>
      <c r="J306" t="n">
        <v>2302</v>
      </c>
      <c r="K306" t="n">
        <v>1179</v>
      </c>
      <c r="L306">
        <f>MIN(F306,J306)</f>
        <v/>
      </c>
      <c r="M306">
        <f>MIN(K306,MAX(0,F306-(J306-K306)))</f>
        <v/>
      </c>
    </row>
    <row r="307">
      <c r="A307" t="inlineStr">
        <is>
          <t>HARBOR-OFFICE</t>
        </is>
      </c>
      <c r="B307" t="inlineStr">
        <is>
          <t>2026-10-11</t>
        </is>
      </c>
      <c r="C307" t="n">
        <v>6</v>
      </c>
      <c r="D307" t="n">
        <v>17</v>
      </c>
      <c r="E307" t="n">
        <v>7</v>
      </c>
      <c r="F307" t="n">
        <v>1004</v>
      </c>
      <c r="G307" t="n">
        <v>204</v>
      </c>
      <c r="H307" t="n">
        <v>0</v>
      </c>
      <c r="I307" t="n">
        <v>1370</v>
      </c>
      <c r="J307" t="n">
        <v>1574</v>
      </c>
      <c r="K307" t="n">
        <v>1370</v>
      </c>
      <c r="L307">
        <f>MIN(F307,J307)</f>
        <v/>
      </c>
      <c r="M307">
        <f>MIN(K307,MAX(0,F307-(J307-K307)))</f>
        <v/>
      </c>
    </row>
    <row r="308">
      <c r="A308" t="inlineStr">
        <is>
          <t>HARBOR-OFFICE</t>
        </is>
      </c>
      <c r="B308" t="inlineStr">
        <is>
          <t>2026-10-11</t>
        </is>
      </c>
      <c r="C308" t="n">
        <v>6</v>
      </c>
      <c r="D308" t="n">
        <v>18</v>
      </c>
      <c r="E308" t="n">
        <v>7</v>
      </c>
      <c r="F308" t="n">
        <v>1004</v>
      </c>
      <c r="G308" t="n">
        <v>0</v>
      </c>
      <c r="H308" t="n">
        <v>0</v>
      </c>
      <c r="I308" t="n">
        <v>1391</v>
      </c>
      <c r="J308" t="n">
        <v>1391</v>
      </c>
      <c r="K308" t="n">
        <v>1391</v>
      </c>
      <c r="L308">
        <f>MIN(F308,J308)</f>
        <v/>
      </c>
      <c r="M308">
        <f>MIN(K308,MAX(0,F308-(J308-K308)))</f>
        <v/>
      </c>
    </row>
    <row r="309">
      <c r="A309" t="inlineStr">
        <is>
          <t>HARBOR-OFFICE</t>
        </is>
      </c>
      <c r="B309" t="inlineStr">
        <is>
          <t>2026-10-11</t>
        </is>
      </c>
      <c r="C309" t="n">
        <v>6</v>
      </c>
      <c r="D309" t="n">
        <v>19</v>
      </c>
      <c r="E309" t="n">
        <v>7</v>
      </c>
      <c r="F309" t="n">
        <v>1004</v>
      </c>
      <c r="G309" t="n">
        <v>0</v>
      </c>
      <c r="H309" t="n">
        <v>0</v>
      </c>
      <c r="I309" t="n">
        <v>1547</v>
      </c>
      <c r="J309" t="n">
        <v>1547</v>
      </c>
      <c r="K309" t="n">
        <v>1547</v>
      </c>
      <c r="L309">
        <f>MIN(F309,J309)</f>
        <v/>
      </c>
      <c r="M309">
        <f>MIN(K309,MAX(0,F309-(J309-K309)))</f>
        <v/>
      </c>
    </row>
    <row r="310">
      <c r="A310" t="inlineStr">
        <is>
          <t>HARBOR-OFFICE</t>
        </is>
      </c>
      <c r="B310" t="inlineStr">
        <is>
          <t>2026-10-11</t>
        </is>
      </c>
      <c r="C310" t="n">
        <v>6</v>
      </c>
      <c r="D310" t="n">
        <v>20</v>
      </c>
      <c r="E310" t="n">
        <v>7</v>
      </c>
      <c r="F310" t="n">
        <v>1004</v>
      </c>
      <c r="G310" t="n">
        <v>0</v>
      </c>
      <c r="H310" t="n">
        <v>0</v>
      </c>
      <c r="I310" t="n">
        <v>1505</v>
      </c>
      <c r="J310" t="n">
        <v>1505</v>
      </c>
      <c r="K310" t="n">
        <v>1505</v>
      </c>
      <c r="L310">
        <f>MIN(F310,J310)</f>
        <v/>
      </c>
      <c r="M310">
        <f>MIN(K310,MAX(0,F310-(J310-K310)))</f>
        <v/>
      </c>
    </row>
    <row r="311">
      <c r="A311" t="inlineStr">
        <is>
          <t>HARBOR-OFFICE</t>
        </is>
      </c>
      <c r="B311" t="inlineStr">
        <is>
          <t>2026-10-11</t>
        </is>
      </c>
      <c r="C311" t="n">
        <v>6</v>
      </c>
      <c r="D311" t="n">
        <v>21</v>
      </c>
      <c r="E311" t="n">
        <v>7</v>
      </c>
      <c r="F311" t="n">
        <v>1004</v>
      </c>
      <c r="G311" t="n">
        <v>0</v>
      </c>
      <c r="H311" t="n">
        <v>0</v>
      </c>
      <c r="I311" t="n">
        <v>1436</v>
      </c>
      <c r="J311" t="n">
        <v>1436</v>
      </c>
      <c r="K311" t="n">
        <v>1436</v>
      </c>
      <c r="L311">
        <f>MIN(F311,J311)</f>
        <v/>
      </c>
      <c r="M311">
        <f>MIN(K311,MAX(0,F311-(J311-K311)))</f>
        <v/>
      </c>
    </row>
    <row r="312">
      <c r="A312" t="inlineStr">
        <is>
          <t>HARBOR-OFFICE</t>
        </is>
      </c>
      <c r="B312" t="inlineStr">
        <is>
          <t>2026-10-11</t>
        </is>
      </c>
      <c r="C312" t="n">
        <v>6</v>
      </c>
      <c r="D312" t="n">
        <v>22</v>
      </c>
      <c r="E312" t="n">
        <v>7</v>
      </c>
      <c r="F312" t="n">
        <v>1004</v>
      </c>
      <c r="G312" t="n">
        <v>0</v>
      </c>
      <c r="H312" t="n">
        <v>0</v>
      </c>
      <c r="I312" t="n">
        <v>1388</v>
      </c>
      <c r="J312" t="n">
        <v>1388</v>
      </c>
      <c r="K312" t="n">
        <v>1388</v>
      </c>
      <c r="L312">
        <f>MIN(F312,J312)</f>
        <v/>
      </c>
      <c r="M312">
        <f>MIN(K312,MAX(0,F312-(J312-K312)))</f>
        <v/>
      </c>
    </row>
    <row r="313">
      <c r="A313" t="inlineStr">
        <is>
          <t>HARBOR-OFFICE</t>
        </is>
      </c>
      <c r="B313" t="inlineStr">
        <is>
          <t>2026-10-11</t>
        </is>
      </c>
      <c r="C313" t="n">
        <v>6</v>
      </c>
      <c r="D313" t="n">
        <v>23</v>
      </c>
      <c r="E313" t="n">
        <v>7</v>
      </c>
      <c r="F313" t="n">
        <v>1004</v>
      </c>
      <c r="G313" t="n">
        <v>0</v>
      </c>
      <c r="H313" t="n">
        <v>0</v>
      </c>
      <c r="I313" t="n">
        <v>1267</v>
      </c>
      <c r="J313" t="n">
        <v>1267</v>
      </c>
      <c r="K313" t="n">
        <v>1267</v>
      </c>
      <c r="L313">
        <f>MIN(F313,J313)</f>
        <v/>
      </c>
      <c r="M313">
        <f>MIN(K313,MAX(0,F313-(J313-K313)))</f>
        <v/>
      </c>
    </row>
    <row r="314">
      <c r="A314" t="inlineStr">
        <is>
          <t>HARBOR-OFFICE</t>
        </is>
      </c>
      <c r="B314" t="inlineStr">
        <is>
          <t>2026-10-12</t>
        </is>
      </c>
      <c r="C314" t="n">
        <v>7</v>
      </c>
      <c r="D314" t="n">
        <v>0</v>
      </c>
      <c r="E314" t="n">
        <v>1</v>
      </c>
      <c r="F314" t="n">
        <v>1004</v>
      </c>
      <c r="G314" t="n">
        <v>0</v>
      </c>
      <c r="H314" t="n">
        <v>0</v>
      </c>
      <c r="I314" t="n">
        <v>1157</v>
      </c>
      <c r="J314" t="n">
        <v>1157</v>
      </c>
      <c r="K314" t="n">
        <v>1157</v>
      </c>
      <c r="L314">
        <f>MIN(F314,J314)</f>
        <v/>
      </c>
      <c r="M314">
        <f>MIN(K314,MAX(0,F314-(J314-K314)))</f>
        <v/>
      </c>
    </row>
    <row r="315">
      <c r="A315" t="inlineStr">
        <is>
          <t>HARBOR-OFFICE</t>
        </is>
      </c>
      <c r="B315" t="inlineStr">
        <is>
          <t>2026-10-12</t>
        </is>
      </c>
      <c r="C315" t="n">
        <v>7</v>
      </c>
      <c r="D315" t="n">
        <v>1</v>
      </c>
      <c r="E315" t="n">
        <v>1</v>
      </c>
      <c r="F315" t="n">
        <v>1004</v>
      </c>
      <c r="G315" t="n">
        <v>0</v>
      </c>
      <c r="H315" t="n">
        <v>0</v>
      </c>
      <c r="I315" t="n">
        <v>1138</v>
      </c>
      <c r="J315" t="n">
        <v>1138</v>
      </c>
      <c r="K315" t="n">
        <v>1138</v>
      </c>
      <c r="L315">
        <f>MIN(F315,J315)</f>
        <v/>
      </c>
      <c r="M315">
        <f>MIN(K315,MAX(0,F315-(J315-K315)))</f>
        <v/>
      </c>
    </row>
    <row r="316">
      <c r="A316" t="inlineStr">
        <is>
          <t>HARBOR-OFFICE</t>
        </is>
      </c>
      <c r="B316" t="inlineStr">
        <is>
          <t>2026-10-12</t>
        </is>
      </c>
      <c r="C316" t="n">
        <v>7</v>
      </c>
      <c r="D316" t="n">
        <v>2</v>
      </c>
      <c r="E316" t="n">
        <v>1</v>
      </c>
      <c r="F316" t="n">
        <v>1004</v>
      </c>
      <c r="G316" t="n">
        <v>0</v>
      </c>
      <c r="H316" t="n">
        <v>0</v>
      </c>
      <c r="I316" t="n">
        <v>1018</v>
      </c>
      <c r="J316" t="n">
        <v>1018</v>
      </c>
      <c r="K316" t="n">
        <v>1018</v>
      </c>
      <c r="L316">
        <f>MIN(F316,J316)</f>
        <v/>
      </c>
      <c r="M316">
        <f>MIN(K316,MAX(0,F316-(J316-K316)))</f>
        <v/>
      </c>
    </row>
    <row r="317">
      <c r="A317" t="inlineStr">
        <is>
          <t>HARBOR-OFFICE</t>
        </is>
      </c>
      <c r="B317" t="inlineStr">
        <is>
          <t>2026-10-12</t>
        </is>
      </c>
      <c r="C317" t="n">
        <v>7</v>
      </c>
      <c r="D317" t="n">
        <v>3</v>
      </c>
      <c r="E317" t="n">
        <v>1</v>
      </c>
      <c r="F317" t="n">
        <v>1004</v>
      </c>
      <c r="G317" t="n">
        <v>0</v>
      </c>
      <c r="H317" t="n">
        <v>0</v>
      </c>
      <c r="I317" t="n">
        <v>956</v>
      </c>
      <c r="J317" t="n">
        <v>956</v>
      </c>
      <c r="K317" t="n">
        <v>956</v>
      </c>
      <c r="L317">
        <f>MIN(F317,J317)</f>
        <v/>
      </c>
      <c r="M317">
        <f>MIN(K317,MAX(0,F317-(J317-K317)))</f>
        <v/>
      </c>
    </row>
    <row r="318">
      <c r="A318" t="inlineStr">
        <is>
          <t>HARBOR-OFFICE</t>
        </is>
      </c>
      <c r="B318" t="inlineStr">
        <is>
          <t>2026-10-12</t>
        </is>
      </c>
      <c r="C318" t="n">
        <v>7</v>
      </c>
      <c r="D318" t="n">
        <v>4</v>
      </c>
      <c r="E318" t="n">
        <v>1</v>
      </c>
      <c r="F318" t="n">
        <v>1004</v>
      </c>
      <c r="G318" t="n">
        <v>0</v>
      </c>
      <c r="H318" t="n">
        <v>0</v>
      </c>
      <c r="I318" t="n">
        <v>958</v>
      </c>
      <c r="J318" t="n">
        <v>958</v>
      </c>
      <c r="K318" t="n">
        <v>958</v>
      </c>
      <c r="L318">
        <f>MIN(F318,J318)</f>
        <v/>
      </c>
      <c r="M318">
        <f>MIN(K318,MAX(0,F318-(J318-K318)))</f>
        <v/>
      </c>
    </row>
    <row r="319">
      <c r="A319" t="inlineStr">
        <is>
          <t>HARBOR-OFFICE</t>
        </is>
      </c>
      <c r="B319" t="inlineStr">
        <is>
          <t>2026-10-12</t>
        </is>
      </c>
      <c r="C319" t="n">
        <v>7</v>
      </c>
      <c r="D319" t="n">
        <v>5</v>
      </c>
      <c r="E319" t="n">
        <v>1</v>
      </c>
      <c r="F319" t="n">
        <v>1004</v>
      </c>
      <c r="G319" t="n">
        <v>4</v>
      </c>
      <c r="H319" t="n">
        <v>0</v>
      </c>
      <c r="I319" t="n">
        <v>901</v>
      </c>
      <c r="J319" t="n">
        <v>905</v>
      </c>
      <c r="K319" t="n">
        <v>901</v>
      </c>
      <c r="L319">
        <f>MIN(F319,J319)</f>
        <v/>
      </c>
      <c r="M319">
        <f>MIN(K319,MAX(0,F319-(J319-K319)))</f>
        <v/>
      </c>
    </row>
    <row r="320">
      <c r="A320" t="inlineStr">
        <is>
          <t>HARBOR-OFFICE</t>
        </is>
      </c>
      <c r="B320" t="inlineStr">
        <is>
          <t>2026-10-12</t>
        </is>
      </c>
      <c r="C320" t="n">
        <v>7</v>
      </c>
      <c r="D320" t="n">
        <v>6</v>
      </c>
      <c r="E320" t="n">
        <v>1</v>
      </c>
      <c r="F320" t="n">
        <v>1004</v>
      </c>
      <c r="G320" t="n">
        <v>162</v>
      </c>
      <c r="H320" t="n">
        <v>0</v>
      </c>
      <c r="I320" t="n">
        <v>897</v>
      </c>
      <c r="J320" t="n">
        <v>1059</v>
      </c>
      <c r="K320" t="n">
        <v>897</v>
      </c>
      <c r="L320">
        <f>MIN(F320,J320)</f>
        <v/>
      </c>
      <c r="M320">
        <f>MIN(K320,MAX(0,F320-(J320-K320)))</f>
        <v/>
      </c>
    </row>
    <row r="321">
      <c r="A321" t="inlineStr">
        <is>
          <t>HARBOR-OFFICE</t>
        </is>
      </c>
      <c r="B321" t="inlineStr">
        <is>
          <t>2026-10-12</t>
        </is>
      </c>
      <c r="C321" t="n">
        <v>7</v>
      </c>
      <c r="D321" t="n">
        <v>7</v>
      </c>
      <c r="E321" t="n">
        <v>1</v>
      </c>
      <c r="F321" t="n">
        <v>1004</v>
      </c>
      <c r="G321" t="n">
        <v>1093</v>
      </c>
      <c r="H321" t="n">
        <v>0</v>
      </c>
      <c r="I321" t="n">
        <v>886</v>
      </c>
      <c r="J321" t="n">
        <v>1979</v>
      </c>
      <c r="K321" t="n">
        <v>886</v>
      </c>
      <c r="L321">
        <f>MIN(F321,J321)</f>
        <v/>
      </c>
      <c r="M321">
        <f>MIN(K321,MAX(0,F321-(J321-K321)))</f>
        <v/>
      </c>
    </row>
    <row r="322">
      <c r="A322" t="inlineStr">
        <is>
          <t>HARBOR-OFFICE</t>
        </is>
      </c>
      <c r="B322" t="inlineStr">
        <is>
          <t>2026-10-12</t>
        </is>
      </c>
      <c r="C322" t="n">
        <v>7</v>
      </c>
      <c r="D322" t="n">
        <v>8</v>
      </c>
      <c r="E322" t="n">
        <v>1</v>
      </c>
      <c r="F322" t="n">
        <v>5019</v>
      </c>
      <c r="G322" t="n">
        <v>2416</v>
      </c>
      <c r="H322" t="n">
        <v>0</v>
      </c>
      <c r="I322" t="n">
        <v>1003</v>
      </c>
      <c r="J322" t="n">
        <v>3419</v>
      </c>
      <c r="K322" t="n">
        <v>1003</v>
      </c>
      <c r="L322">
        <f>MIN(F322,J322)</f>
        <v/>
      </c>
      <c r="M322">
        <f>MIN(K322,MAX(0,F322-(J322-K322)))</f>
        <v/>
      </c>
    </row>
    <row r="323">
      <c r="A323" t="inlineStr">
        <is>
          <t>HARBOR-OFFICE</t>
        </is>
      </c>
      <c r="B323" t="inlineStr">
        <is>
          <t>2026-10-12</t>
        </is>
      </c>
      <c r="C323" t="n">
        <v>7</v>
      </c>
      <c r="D323" t="n">
        <v>9</v>
      </c>
      <c r="E323" t="n">
        <v>1</v>
      </c>
      <c r="F323" t="n">
        <v>5019</v>
      </c>
      <c r="G323" t="n">
        <v>3453</v>
      </c>
      <c r="H323" t="n">
        <v>0</v>
      </c>
      <c r="I323" t="n">
        <v>1012</v>
      </c>
      <c r="J323" t="n">
        <v>4465</v>
      </c>
      <c r="K323" t="n">
        <v>1012</v>
      </c>
      <c r="L323">
        <f>MIN(F323,J323)</f>
        <v/>
      </c>
      <c r="M323">
        <f>MIN(K323,MAX(0,F323-(J323-K323)))</f>
        <v/>
      </c>
    </row>
    <row r="324">
      <c r="A324" t="inlineStr">
        <is>
          <t>HARBOR-OFFICE</t>
        </is>
      </c>
      <c r="B324" t="inlineStr">
        <is>
          <t>2026-10-12</t>
        </is>
      </c>
      <c r="C324" t="n">
        <v>7</v>
      </c>
      <c r="D324" t="n">
        <v>10</v>
      </c>
      <c r="E324" t="n">
        <v>1</v>
      </c>
      <c r="F324" t="n">
        <v>5019</v>
      </c>
      <c r="G324" t="n">
        <v>4074</v>
      </c>
      <c r="H324" t="n">
        <v>0</v>
      </c>
      <c r="I324" t="n">
        <v>1010</v>
      </c>
      <c r="J324" t="n">
        <v>5084</v>
      </c>
      <c r="K324" t="n">
        <v>1010</v>
      </c>
      <c r="L324">
        <f>MIN(F324,J324)</f>
        <v/>
      </c>
      <c r="M324">
        <f>MIN(K324,MAX(0,F324-(J324-K324)))</f>
        <v/>
      </c>
    </row>
    <row r="325">
      <c r="A325" t="inlineStr">
        <is>
          <t>HARBOR-OFFICE</t>
        </is>
      </c>
      <c r="B325" t="inlineStr">
        <is>
          <t>2026-10-12</t>
        </is>
      </c>
      <c r="C325" t="n">
        <v>7</v>
      </c>
      <c r="D325" t="n">
        <v>11</v>
      </c>
      <c r="E325" t="n">
        <v>1</v>
      </c>
      <c r="F325" t="n">
        <v>5019</v>
      </c>
      <c r="G325" t="n">
        <v>4416</v>
      </c>
      <c r="H325" t="n">
        <v>0</v>
      </c>
      <c r="I325" t="n">
        <v>1005</v>
      </c>
      <c r="J325" t="n">
        <v>5421</v>
      </c>
      <c r="K325" t="n">
        <v>1005</v>
      </c>
      <c r="L325">
        <f>MIN(F325,J325)</f>
        <v/>
      </c>
      <c r="M325">
        <f>MIN(K325,MAX(0,F325-(J325-K325)))</f>
        <v/>
      </c>
    </row>
    <row r="326">
      <c r="A326" t="inlineStr">
        <is>
          <t>HARBOR-OFFICE</t>
        </is>
      </c>
      <c r="B326" t="inlineStr">
        <is>
          <t>2026-10-12</t>
        </is>
      </c>
      <c r="C326" t="n">
        <v>7</v>
      </c>
      <c r="D326" t="n">
        <v>12</v>
      </c>
      <c r="E326" t="n">
        <v>1</v>
      </c>
      <c r="F326" t="n">
        <v>5019</v>
      </c>
      <c r="G326" t="n">
        <v>4423</v>
      </c>
      <c r="H326" t="n">
        <v>0</v>
      </c>
      <c r="I326" t="n">
        <v>870</v>
      </c>
      <c r="J326" t="n">
        <v>5293</v>
      </c>
      <c r="K326" t="n">
        <v>870</v>
      </c>
      <c r="L326">
        <f>MIN(F326,J326)</f>
        <v/>
      </c>
      <c r="M326">
        <f>MIN(K326,MAX(0,F326-(J326-K326)))</f>
        <v/>
      </c>
    </row>
    <row r="327">
      <c r="A327" t="inlineStr">
        <is>
          <t>HARBOR-OFFICE</t>
        </is>
      </c>
      <c r="B327" t="inlineStr">
        <is>
          <t>2026-10-12</t>
        </is>
      </c>
      <c r="C327" t="n">
        <v>7</v>
      </c>
      <c r="D327" t="n">
        <v>13</v>
      </c>
      <c r="E327" t="n">
        <v>1</v>
      </c>
      <c r="F327" t="n">
        <v>5019</v>
      </c>
      <c r="G327" t="n">
        <v>4132</v>
      </c>
      <c r="H327" t="n">
        <v>0</v>
      </c>
      <c r="I327" t="n">
        <v>923</v>
      </c>
      <c r="J327" t="n">
        <v>5055</v>
      </c>
      <c r="K327" t="n">
        <v>923</v>
      </c>
      <c r="L327">
        <f>MIN(F327,J327)</f>
        <v/>
      </c>
      <c r="M327">
        <f>MIN(K327,MAX(0,F327-(J327-K327)))</f>
        <v/>
      </c>
    </row>
    <row r="328">
      <c r="A328" t="inlineStr">
        <is>
          <t>HARBOR-OFFICE</t>
        </is>
      </c>
      <c r="B328" t="inlineStr">
        <is>
          <t>2026-10-12</t>
        </is>
      </c>
      <c r="C328" t="n">
        <v>7</v>
      </c>
      <c r="D328" t="n">
        <v>14</v>
      </c>
      <c r="E328" t="n">
        <v>1</v>
      </c>
      <c r="F328" t="n">
        <v>5019</v>
      </c>
      <c r="G328" t="n">
        <v>3502</v>
      </c>
      <c r="H328" t="n">
        <v>0</v>
      </c>
      <c r="I328" t="n">
        <v>1007</v>
      </c>
      <c r="J328" t="n">
        <v>4509</v>
      </c>
      <c r="K328" t="n">
        <v>1007</v>
      </c>
      <c r="L328">
        <f>MIN(F328,J328)</f>
        <v/>
      </c>
      <c r="M328">
        <f>MIN(K328,MAX(0,F328-(J328-K328)))</f>
        <v/>
      </c>
    </row>
    <row r="329">
      <c r="A329" t="inlineStr">
        <is>
          <t>HARBOR-OFFICE</t>
        </is>
      </c>
      <c r="B329" t="inlineStr">
        <is>
          <t>2026-10-12</t>
        </is>
      </c>
      <c r="C329" t="n">
        <v>7</v>
      </c>
      <c r="D329" t="n">
        <v>15</v>
      </c>
      <c r="E329" t="n">
        <v>1</v>
      </c>
      <c r="F329" t="n">
        <v>5019</v>
      </c>
      <c r="G329" t="n">
        <v>2465</v>
      </c>
      <c r="H329" t="n">
        <v>0</v>
      </c>
      <c r="I329" t="n">
        <v>1146</v>
      </c>
      <c r="J329" t="n">
        <v>3611</v>
      </c>
      <c r="K329" t="n">
        <v>1146</v>
      </c>
      <c r="L329">
        <f>MIN(F329,J329)</f>
        <v/>
      </c>
      <c r="M329">
        <f>MIN(K329,MAX(0,F329-(J329-K329)))</f>
        <v/>
      </c>
    </row>
    <row r="330">
      <c r="A330" t="inlineStr">
        <is>
          <t>HARBOR-OFFICE</t>
        </is>
      </c>
      <c r="B330" t="inlineStr">
        <is>
          <t>2026-10-12</t>
        </is>
      </c>
      <c r="C330" t="n">
        <v>7</v>
      </c>
      <c r="D330" t="n">
        <v>16</v>
      </c>
      <c r="E330" t="n">
        <v>1</v>
      </c>
      <c r="F330" t="n">
        <v>5019</v>
      </c>
      <c r="G330" t="n">
        <v>1215</v>
      </c>
      <c r="H330" t="n">
        <v>0</v>
      </c>
      <c r="I330" t="n">
        <v>1390</v>
      </c>
      <c r="J330" t="n">
        <v>2605</v>
      </c>
      <c r="K330" t="n">
        <v>1390</v>
      </c>
      <c r="L330">
        <f>MIN(F330,J330)</f>
        <v/>
      </c>
      <c r="M330">
        <f>MIN(K330,MAX(0,F330-(J330-K330)))</f>
        <v/>
      </c>
    </row>
    <row r="331">
      <c r="A331" t="inlineStr">
        <is>
          <t>HARBOR-OFFICE</t>
        </is>
      </c>
      <c r="B331" t="inlineStr">
        <is>
          <t>2026-10-12</t>
        </is>
      </c>
      <c r="C331" t="n">
        <v>7</v>
      </c>
      <c r="D331" t="n">
        <v>17</v>
      </c>
      <c r="E331" t="n">
        <v>1</v>
      </c>
      <c r="F331" t="n">
        <v>5019</v>
      </c>
      <c r="G331" t="n">
        <v>250</v>
      </c>
      <c r="H331" t="n">
        <v>0</v>
      </c>
      <c r="I331" t="n">
        <v>1384</v>
      </c>
      <c r="J331" t="n">
        <v>1634</v>
      </c>
      <c r="K331" t="n">
        <v>1384</v>
      </c>
      <c r="L331">
        <f>MIN(F331,J331)</f>
        <v/>
      </c>
      <c r="M331">
        <f>MIN(K331,MAX(0,F331-(J331-K331)))</f>
        <v/>
      </c>
    </row>
    <row r="332">
      <c r="A332" t="inlineStr">
        <is>
          <t>HARBOR-OFFICE</t>
        </is>
      </c>
      <c r="B332" t="inlineStr">
        <is>
          <t>2026-10-12</t>
        </is>
      </c>
      <c r="C332" t="n">
        <v>7</v>
      </c>
      <c r="D332" t="n">
        <v>18</v>
      </c>
      <c r="E332" t="n">
        <v>1</v>
      </c>
      <c r="F332" t="n">
        <v>5019</v>
      </c>
      <c r="G332" t="n">
        <v>0</v>
      </c>
      <c r="H332" t="n">
        <v>0</v>
      </c>
      <c r="I332" t="n">
        <v>1356</v>
      </c>
      <c r="J332" t="n">
        <v>1356</v>
      </c>
      <c r="K332" t="n">
        <v>1356</v>
      </c>
      <c r="L332">
        <f>MIN(F332,J332)</f>
        <v/>
      </c>
      <c r="M332">
        <f>MIN(K332,MAX(0,F332-(J332-K332)))</f>
        <v/>
      </c>
    </row>
    <row r="333">
      <c r="A333" t="inlineStr">
        <is>
          <t>HARBOR-OFFICE</t>
        </is>
      </c>
      <c r="B333" t="inlineStr">
        <is>
          <t>2026-10-12</t>
        </is>
      </c>
      <c r="C333" t="n">
        <v>7</v>
      </c>
      <c r="D333" t="n">
        <v>19</v>
      </c>
      <c r="E333" t="n">
        <v>1</v>
      </c>
      <c r="F333" t="n">
        <v>1004</v>
      </c>
      <c r="G333" t="n">
        <v>0</v>
      </c>
      <c r="H333" t="n">
        <v>0</v>
      </c>
      <c r="I333" t="n">
        <v>1451</v>
      </c>
      <c r="J333" t="n">
        <v>1451</v>
      </c>
      <c r="K333" t="n">
        <v>1451</v>
      </c>
      <c r="L333">
        <f>MIN(F333,J333)</f>
        <v/>
      </c>
      <c r="M333">
        <f>MIN(K333,MAX(0,F333-(J333-K333)))</f>
        <v/>
      </c>
    </row>
    <row r="334">
      <c r="A334" t="inlineStr">
        <is>
          <t>HARBOR-OFFICE</t>
        </is>
      </c>
      <c r="B334" t="inlineStr">
        <is>
          <t>2026-10-12</t>
        </is>
      </c>
      <c r="C334" t="n">
        <v>7</v>
      </c>
      <c r="D334" t="n">
        <v>20</v>
      </c>
      <c r="E334" t="n">
        <v>1</v>
      </c>
      <c r="F334" t="n">
        <v>1004</v>
      </c>
      <c r="G334" t="n">
        <v>0</v>
      </c>
      <c r="H334" t="n">
        <v>0</v>
      </c>
      <c r="I334" t="n">
        <v>1454</v>
      </c>
      <c r="J334" t="n">
        <v>1454</v>
      </c>
      <c r="K334" t="n">
        <v>1454</v>
      </c>
      <c r="L334">
        <f>MIN(F334,J334)</f>
        <v/>
      </c>
      <c r="M334">
        <f>MIN(K334,MAX(0,F334-(J334-K334)))</f>
        <v/>
      </c>
    </row>
    <row r="335">
      <c r="A335" t="inlineStr">
        <is>
          <t>HARBOR-OFFICE</t>
        </is>
      </c>
      <c r="B335" t="inlineStr">
        <is>
          <t>2026-10-12</t>
        </is>
      </c>
      <c r="C335" t="n">
        <v>7</v>
      </c>
      <c r="D335" t="n">
        <v>21</v>
      </c>
      <c r="E335" t="n">
        <v>1</v>
      </c>
      <c r="F335" t="n">
        <v>1004</v>
      </c>
      <c r="G335" t="n">
        <v>0</v>
      </c>
      <c r="H335" t="n">
        <v>0</v>
      </c>
      <c r="I335" t="n">
        <v>1251</v>
      </c>
      <c r="J335" t="n">
        <v>1251</v>
      </c>
      <c r="K335" t="n">
        <v>1251</v>
      </c>
      <c r="L335">
        <f>MIN(F335,J335)</f>
        <v/>
      </c>
      <c r="M335">
        <f>MIN(K335,MAX(0,F335-(J335-K335)))</f>
        <v/>
      </c>
    </row>
    <row r="336">
      <c r="A336" t="inlineStr">
        <is>
          <t>HARBOR-OFFICE</t>
        </is>
      </c>
      <c r="B336" t="inlineStr">
        <is>
          <t>2026-10-12</t>
        </is>
      </c>
      <c r="C336" t="n">
        <v>7</v>
      </c>
      <c r="D336" t="n">
        <v>22</v>
      </c>
      <c r="E336" t="n">
        <v>1</v>
      </c>
      <c r="F336" t="n">
        <v>1004</v>
      </c>
      <c r="G336" t="n">
        <v>0</v>
      </c>
      <c r="H336" t="n">
        <v>0</v>
      </c>
      <c r="I336" t="n">
        <v>1223</v>
      </c>
      <c r="J336" t="n">
        <v>1223</v>
      </c>
      <c r="K336" t="n">
        <v>1223</v>
      </c>
      <c r="L336">
        <f>MIN(F336,J336)</f>
        <v/>
      </c>
      <c r="M336">
        <f>MIN(K336,MAX(0,F336-(J336-K336)))</f>
        <v/>
      </c>
    </row>
    <row r="337">
      <c r="A337" t="inlineStr">
        <is>
          <t>HARBOR-OFFICE</t>
        </is>
      </c>
      <c r="B337" t="inlineStr">
        <is>
          <t>2026-10-12</t>
        </is>
      </c>
      <c r="C337" t="n">
        <v>7</v>
      </c>
      <c r="D337" t="n">
        <v>23</v>
      </c>
      <c r="E337" t="n">
        <v>1</v>
      </c>
      <c r="F337" t="n">
        <v>1004</v>
      </c>
      <c r="G337" t="n">
        <v>0</v>
      </c>
      <c r="H337" t="n">
        <v>0</v>
      </c>
      <c r="I337" t="n">
        <v>1213</v>
      </c>
      <c r="J337" t="n">
        <v>1213</v>
      </c>
      <c r="K337" t="n">
        <v>1213</v>
      </c>
      <c r="L337">
        <f>MIN(F337,J337)</f>
        <v/>
      </c>
      <c r="M337">
        <f>MIN(K337,MAX(0,F337-(J337-K337)))</f>
        <v/>
      </c>
    </row>
    <row r="338">
      <c r="A338" t="inlineStr">
        <is>
          <t>CLOUDLINE-DC</t>
        </is>
      </c>
      <c r="B338" t="inlineStr">
        <is>
          <t>2026-10-06</t>
        </is>
      </c>
      <c r="C338" t="n">
        <v>1</v>
      </c>
      <c r="D338" t="n">
        <v>0</v>
      </c>
      <c r="E338" t="n">
        <v>2</v>
      </c>
      <c r="F338" t="n">
        <v>14241</v>
      </c>
      <c r="G338" t="n">
        <v>0</v>
      </c>
      <c r="H338" t="n">
        <v>20000</v>
      </c>
      <c r="I338" t="n">
        <v>0</v>
      </c>
      <c r="J338" t="n">
        <v>20000</v>
      </c>
      <c r="K338" t="n">
        <v>0</v>
      </c>
      <c r="L338">
        <f>MIN(F338,J338)</f>
        <v/>
      </c>
      <c r="M338">
        <f>MIN(K338,MAX(0,F338-(J338-K338)))</f>
        <v/>
      </c>
    </row>
    <row r="339">
      <c r="A339" t="inlineStr">
        <is>
          <t>CLOUDLINE-DC</t>
        </is>
      </c>
      <c r="B339" t="inlineStr">
        <is>
          <t>2026-10-06</t>
        </is>
      </c>
      <c r="C339" t="n">
        <v>1</v>
      </c>
      <c r="D339" t="n">
        <v>1</v>
      </c>
      <c r="E339" t="n">
        <v>2</v>
      </c>
      <c r="F339" t="n">
        <v>14834</v>
      </c>
      <c r="G339" t="n">
        <v>0</v>
      </c>
      <c r="H339" t="n">
        <v>19878</v>
      </c>
      <c r="I339" t="n">
        <v>0</v>
      </c>
      <c r="J339" t="n">
        <v>19878</v>
      </c>
      <c r="K339" t="n">
        <v>0</v>
      </c>
      <c r="L339">
        <f>MIN(F339,J339)</f>
        <v/>
      </c>
      <c r="M339">
        <f>MIN(K339,MAX(0,F339-(J339-K339)))</f>
        <v/>
      </c>
    </row>
    <row r="340">
      <c r="A340" t="inlineStr">
        <is>
          <t>CLOUDLINE-DC</t>
        </is>
      </c>
      <c r="B340" t="inlineStr">
        <is>
          <t>2026-10-06</t>
        </is>
      </c>
      <c r="C340" t="n">
        <v>1</v>
      </c>
      <c r="D340" t="n">
        <v>2</v>
      </c>
      <c r="E340" t="n">
        <v>2</v>
      </c>
      <c r="F340" t="n">
        <v>15428</v>
      </c>
      <c r="G340" t="n">
        <v>0</v>
      </c>
      <c r="H340" t="n">
        <v>19578</v>
      </c>
      <c r="I340" t="n">
        <v>0</v>
      </c>
      <c r="J340" t="n">
        <v>19578</v>
      </c>
      <c r="K340" t="n">
        <v>0</v>
      </c>
      <c r="L340">
        <f>MIN(F340,J340)</f>
        <v/>
      </c>
      <c r="M340">
        <f>MIN(K340,MAX(0,F340-(J340-K340)))</f>
        <v/>
      </c>
    </row>
    <row r="341">
      <c r="A341" t="inlineStr">
        <is>
          <t>CLOUDLINE-DC</t>
        </is>
      </c>
      <c r="B341" t="inlineStr">
        <is>
          <t>2026-10-06</t>
        </is>
      </c>
      <c r="C341" t="n">
        <v>1</v>
      </c>
      <c r="D341" t="n">
        <v>3</v>
      </c>
      <c r="E341" t="n">
        <v>2</v>
      </c>
      <c r="F341" t="n">
        <v>14538</v>
      </c>
      <c r="G341" t="n">
        <v>0</v>
      </c>
      <c r="H341" t="n">
        <v>19445</v>
      </c>
      <c r="I341" t="n">
        <v>0</v>
      </c>
      <c r="J341" t="n">
        <v>19445</v>
      </c>
      <c r="K341" t="n">
        <v>0</v>
      </c>
      <c r="L341">
        <f>MIN(F341,J341)</f>
        <v/>
      </c>
      <c r="M341">
        <f>MIN(K341,MAX(0,F341-(J341-K341)))</f>
        <v/>
      </c>
    </row>
    <row r="342">
      <c r="A342" t="inlineStr">
        <is>
          <t>CLOUDLINE-DC</t>
        </is>
      </c>
      <c r="B342" t="inlineStr">
        <is>
          <t>2026-10-06</t>
        </is>
      </c>
      <c r="C342" t="n">
        <v>1</v>
      </c>
      <c r="D342" t="n">
        <v>4</v>
      </c>
      <c r="E342" t="n">
        <v>2</v>
      </c>
      <c r="F342" t="n">
        <v>15131</v>
      </c>
      <c r="G342" t="n">
        <v>0</v>
      </c>
      <c r="H342" t="n">
        <v>19367</v>
      </c>
      <c r="I342" t="n">
        <v>0</v>
      </c>
      <c r="J342" t="n">
        <v>19367</v>
      </c>
      <c r="K342" t="n">
        <v>0</v>
      </c>
      <c r="L342">
        <f>MIN(F342,J342)</f>
        <v/>
      </c>
      <c r="M342">
        <f>MIN(K342,MAX(0,F342-(J342-K342)))</f>
        <v/>
      </c>
    </row>
    <row r="343">
      <c r="A343" t="inlineStr">
        <is>
          <t>CLOUDLINE-DC</t>
        </is>
      </c>
      <c r="B343" t="inlineStr">
        <is>
          <t>2026-10-06</t>
        </is>
      </c>
      <c r="C343" t="n">
        <v>1</v>
      </c>
      <c r="D343" t="n">
        <v>5</v>
      </c>
      <c r="E343" t="n">
        <v>2</v>
      </c>
      <c r="F343" t="n">
        <v>14241</v>
      </c>
      <c r="G343" t="n">
        <v>0</v>
      </c>
      <c r="H343" t="n">
        <v>19359</v>
      </c>
      <c r="I343" t="n">
        <v>0</v>
      </c>
      <c r="J343" t="n">
        <v>19359</v>
      </c>
      <c r="K343" t="n">
        <v>0</v>
      </c>
      <c r="L343">
        <f>MIN(F343,J343)</f>
        <v/>
      </c>
      <c r="M343">
        <f>MIN(K343,MAX(0,F343-(J343-K343)))</f>
        <v/>
      </c>
    </row>
    <row r="344">
      <c r="A344" t="inlineStr">
        <is>
          <t>CLOUDLINE-DC</t>
        </is>
      </c>
      <c r="B344" t="inlineStr">
        <is>
          <t>2026-10-06</t>
        </is>
      </c>
      <c r="C344" t="n">
        <v>1</v>
      </c>
      <c r="D344" t="n">
        <v>6</v>
      </c>
      <c r="E344" t="n">
        <v>2</v>
      </c>
      <c r="F344" t="n">
        <v>14834</v>
      </c>
      <c r="G344" t="n">
        <v>0</v>
      </c>
      <c r="H344" t="n">
        <v>19312</v>
      </c>
      <c r="I344" t="n">
        <v>0</v>
      </c>
      <c r="J344" t="n">
        <v>19312</v>
      </c>
      <c r="K344" t="n">
        <v>0</v>
      </c>
      <c r="L344">
        <f>MIN(F344,J344)</f>
        <v/>
      </c>
      <c r="M344">
        <f>MIN(K344,MAX(0,F344-(J344-K344)))</f>
        <v/>
      </c>
    </row>
    <row r="345">
      <c r="A345" t="inlineStr">
        <is>
          <t>CLOUDLINE-DC</t>
        </is>
      </c>
      <c r="B345" t="inlineStr">
        <is>
          <t>2026-10-06</t>
        </is>
      </c>
      <c r="C345" t="n">
        <v>1</v>
      </c>
      <c r="D345" t="n">
        <v>7</v>
      </c>
      <c r="E345" t="n">
        <v>2</v>
      </c>
      <c r="F345" t="n">
        <v>15428</v>
      </c>
      <c r="G345" t="n">
        <v>0</v>
      </c>
      <c r="H345" t="n">
        <v>19581</v>
      </c>
      <c r="I345" t="n">
        <v>0</v>
      </c>
      <c r="J345" t="n">
        <v>19581</v>
      </c>
      <c r="K345" t="n">
        <v>0</v>
      </c>
      <c r="L345">
        <f>MIN(F345,J345)</f>
        <v/>
      </c>
      <c r="M345">
        <f>MIN(K345,MAX(0,F345-(J345-K345)))</f>
        <v/>
      </c>
    </row>
    <row r="346">
      <c r="A346" t="inlineStr">
        <is>
          <t>CLOUDLINE-DC</t>
        </is>
      </c>
      <c r="B346" t="inlineStr">
        <is>
          <t>2026-10-06</t>
        </is>
      </c>
      <c r="C346" t="n">
        <v>1</v>
      </c>
      <c r="D346" t="n">
        <v>8</v>
      </c>
      <c r="E346" t="n">
        <v>2</v>
      </c>
      <c r="F346" t="n">
        <v>14538</v>
      </c>
      <c r="G346" t="n">
        <v>0</v>
      </c>
      <c r="H346" t="n">
        <v>19684</v>
      </c>
      <c r="I346" t="n">
        <v>0</v>
      </c>
      <c r="J346" t="n">
        <v>19684</v>
      </c>
      <c r="K346" t="n">
        <v>0</v>
      </c>
      <c r="L346">
        <f>MIN(F346,J346)</f>
        <v/>
      </c>
      <c r="M346">
        <f>MIN(K346,MAX(0,F346-(J346-K346)))</f>
        <v/>
      </c>
    </row>
    <row r="347">
      <c r="A347" t="inlineStr">
        <is>
          <t>CLOUDLINE-DC</t>
        </is>
      </c>
      <c r="B347" t="inlineStr">
        <is>
          <t>2026-10-06</t>
        </is>
      </c>
      <c r="C347" t="n">
        <v>1</v>
      </c>
      <c r="D347" t="n">
        <v>9</v>
      </c>
      <c r="E347" t="n">
        <v>2</v>
      </c>
      <c r="F347" t="n">
        <v>15131</v>
      </c>
      <c r="G347" t="n">
        <v>0</v>
      </c>
      <c r="H347" t="n">
        <v>19620</v>
      </c>
      <c r="I347" t="n">
        <v>0</v>
      </c>
      <c r="J347" t="n">
        <v>19620</v>
      </c>
      <c r="K347" t="n">
        <v>0</v>
      </c>
      <c r="L347">
        <f>MIN(F347,J347)</f>
        <v/>
      </c>
      <c r="M347">
        <f>MIN(K347,MAX(0,F347-(J347-K347)))</f>
        <v/>
      </c>
    </row>
    <row r="348">
      <c r="A348" t="inlineStr">
        <is>
          <t>CLOUDLINE-DC</t>
        </is>
      </c>
      <c r="B348" t="inlineStr">
        <is>
          <t>2026-10-06</t>
        </is>
      </c>
      <c r="C348" t="n">
        <v>1</v>
      </c>
      <c r="D348" t="n">
        <v>10</v>
      </c>
      <c r="E348" t="n">
        <v>2</v>
      </c>
      <c r="F348" t="n">
        <v>14241</v>
      </c>
      <c r="G348" t="n">
        <v>0</v>
      </c>
      <c r="H348" t="n">
        <v>19539</v>
      </c>
      <c r="I348" t="n">
        <v>0</v>
      </c>
      <c r="J348" t="n">
        <v>19539</v>
      </c>
      <c r="K348" t="n">
        <v>0</v>
      </c>
      <c r="L348">
        <f>MIN(F348,J348)</f>
        <v/>
      </c>
      <c r="M348">
        <f>MIN(K348,MAX(0,F348-(J348-K348)))</f>
        <v/>
      </c>
    </row>
    <row r="349">
      <c r="A349" t="inlineStr">
        <is>
          <t>CLOUDLINE-DC</t>
        </is>
      </c>
      <c r="B349" t="inlineStr">
        <is>
          <t>2026-10-06</t>
        </is>
      </c>
      <c r="C349" t="n">
        <v>1</v>
      </c>
      <c r="D349" t="n">
        <v>11</v>
      </c>
      <c r="E349" t="n">
        <v>2</v>
      </c>
      <c r="F349" t="n">
        <v>14834</v>
      </c>
      <c r="G349" t="n">
        <v>0</v>
      </c>
      <c r="H349" t="n">
        <v>19487</v>
      </c>
      <c r="I349" t="n">
        <v>0</v>
      </c>
      <c r="J349" t="n">
        <v>19487</v>
      </c>
      <c r="K349" t="n">
        <v>0</v>
      </c>
      <c r="L349">
        <f>MIN(F349,J349)</f>
        <v/>
      </c>
      <c r="M349">
        <f>MIN(K349,MAX(0,F349-(J349-K349)))</f>
        <v/>
      </c>
    </row>
    <row r="350">
      <c r="A350" t="inlineStr">
        <is>
          <t>CLOUDLINE-DC</t>
        </is>
      </c>
      <c r="B350" t="inlineStr">
        <is>
          <t>2026-10-06</t>
        </is>
      </c>
      <c r="C350" t="n">
        <v>1</v>
      </c>
      <c r="D350" t="n">
        <v>12</v>
      </c>
      <c r="E350" t="n">
        <v>2</v>
      </c>
      <c r="F350" t="n">
        <v>15428</v>
      </c>
      <c r="G350" t="n">
        <v>0</v>
      </c>
      <c r="H350" t="n">
        <v>19650</v>
      </c>
      <c r="I350" t="n">
        <v>0</v>
      </c>
      <c r="J350" t="n">
        <v>19650</v>
      </c>
      <c r="K350" t="n">
        <v>0</v>
      </c>
      <c r="L350">
        <f>MIN(F350,J350)</f>
        <v/>
      </c>
      <c r="M350">
        <f>MIN(K350,MAX(0,F350-(J350-K350)))</f>
        <v/>
      </c>
    </row>
    <row r="351">
      <c r="A351" t="inlineStr">
        <is>
          <t>CLOUDLINE-DC</t>
        </is>
      </c>
      <c r="B351" t="inlineStr">
        <is>
          <t>2026-10-06</t>
        </is>
      </c>
      <c r="C351" t="n">
        <v>1</v>
      </c>
      <c r="D351" t="n">
        <v>13</v>
      </c>
      <c r="E351" t="n">
        <v>2</v>
      </c>
      <c r="F351" t="n">
        <v>14538</v>
      </c>
      <c r="G351" t="n">
        <v>0</v>
      </c>
      <c r="H351" t="n">
        <v>19684</v>
      </c>
      <c r="I351" t="n">
        <v>0</v>
      </c>
      <c r="J351" t="n">
        <v>19684</v>
      </c>
      <c r="K351" t="n">
        <v>0</v>
      </c>
      <c r="L351">
        <f>MIN(F351,J351)</f>
        <v/>
      </c>
      <c r="M351">
        <f>MIN(K351,MAX(0,F351-(J351-K351)))</f>
        <v/>
      </c>
    </row>
    <row r="352">
      <c r="A352" t="inlineStr">
        <is>
          <t>CLOUDLINE-DC</t>
        </is>
      </c>
      <c r="B352" t="inlineStr">
        <is>
          <t>2026-10-06</t>
        </is>
      </c>
      <c r="C352" t="n">
        <v>1</v>
      </c>
      <c r="D352" t="n">
        <v>14</v>
      </c>
      <c r="E352" t="n">
        <v>2</v>
      </c>
      <c r="F352" t="n">
        <v>15131</v>
      </c>
      <c r="G352" t="n">
        <v>0</v>
      </c>
      <c r="H352" t="n">
        <v>19768</v>
      </c>
      <c r="I352" t="n">
        <v>0</v>
      </c>
      <c r="J352" t="n">
        <v>19768</v>
      </c>
      <c r="K352" t="n">
        <v>0</v>
      </c>
      <c r="L352">
        <f>MIN(F352,J352)</f>
        <v/>
      </c>
      <c r="M352">
        <f>MIN(K352,MAX(0,F352-(J352-K352)))</f>
        <v/>
      </c>
    </row>
    <row r="353">
      <c r="A353" t="inlineStr">
        <is>
          <t>CLOUDLINE-DC</t>
        </is>
      </c>
      <c r="B353" t="inlineStr">
        <is>
          <t>2026-10-06</t>
        </is>
      </c>
      <c r="C353" t="n">
        <v>1</v>
      </c>
      <c r="D353" t="n">
        <v>15</v>
      </c>
      <c r="E353" t="n">
        <v>2</v>
      </c>
      <c r="F353" t="n">
        <v>14241</v>
      </c>
      <c r="G353" t="n">
        <v>0</v>
      </c>
      <c r="H353" t="n">
        <v>19774</v>
      </c>
      <c r="I353" t="n">
        <v>0</v>
      </c>
      <c r="J353" t="n">
        <v>19774</v>
      </c>
      <c r="K353" t="n">
        <v>0</v>
      </c>
      <c r="L353">
        <f>MIN(F353,J353)</f>
        <v/>
      </c>
      <c r="M353">
        <f>MIN(K353,MAX(0,F353-(J353-K353)))</f>
        <v/>
      </c>
    </row>
    <row r="354">
      <c r="A354" t="inlineStr">
        <is>
          <t>CLOUDLINE-DC</t>
        </is>
      </c>
      <c r="B354" t="inlineStr">
        <is>
          <t>2026-10-06</t>
        </is>
      </c>
      <c r="C354" t="n">
        <v>1</v>
      </c>
      <c r="D354" t="n">
        <v>16</v>
      </c>
      <c r="E354" t="n">
        <v>2</v>
      </c>
      <c r="F354" t="n">
        <v>14834</v>
      </c>
      <c r="G354" t="n">
        <v>0</v>
      </c>
      <c r="H354" t="n">
        <v>19840</v>
      </c>
      <c r="I354" t="n">
        <v>0</v>
      </c>
      <c r="J354" t="n">
        <v>19840</v>
      </c>
      <c r="K354" t="n">
        <v>0</v>
      </c>
      <c r="L354">
        <f>MIN(F354,J354)</f>
        <v/>
      </c>
      <c r="M354">
        <f>MIN(K354,MAX(0,F354-(J354-K354)))</f>
        <v/>
      </c>
    </row>
    <row r="355">
      <c r="A355" t="inlineStr">
        <is>
          <t>CLOUDLINE-DC</t>
        </is>
      </c>
      <c r="B355" t="inlineStr">
        <is>
          <t>2026-10-06</t>
        </is>
      </c>
      <c r="C355" t="n">
        <v>1</v>
      </c>
      <c r="D355" t="n">
        <v>17</v>
      </c>
      <c r="E355" t="n">
        <v>2</v>
      </c>
      <c r="F355" t="n">
        <v>15428</v>
      </c>
      <c r="G355" t="n">
        <v>0</v>
      </c>
      <c r="H355" t="n">
        <v>19802</v>
      </c>
      <c r="I355" t="n">
        <v>0</v>
      </c>
      <c r="J355" t="n">
        <v>19802</v>
      </c>
      <c r="K355" t="n">
        <v>0</v>
      </c>
      <c r="L355">
        <f>MIN(F355,J355)</f>
        <v/>
      </c>
      <c r="M355">
        <f>MIN(K355,MAX(0,F355-(J355-K355)))</f>
        <v/>
      </c>
    </row>
    <row r="356">
      <c r="A356" t="inlineStr">
        <is>
          <t>CLOUDLINE-DC</t>
        </is>
      </c>
      <c r="B356" t="inlineStr">
        <is>
          <t>2026-10-06</t>
        </is>
      </c>
      <c r="C356" t="n">
        <v>1</v>
      </c>
      <c r="D356" t="n">
        <v>18</v>
      </c>
      <c r="E356" t="n">
        <v>2</v>
      </c>
      <c r="F356" t="n">
        <v>14538</v>
      </c>
      <c r="G356" t="n">
        <v>0</v>
      </c>
      <c r="H356" t="n">
        <v>19711</v>
      </c>
      <c r="I356" t="n">
        <v>0</v>
      </c>
      <c r="J356" t="n">
        <v>19711</v>
      </c>
      <c r="K356" t="n">
        <v>0</v>
      </c>
      <c r="L356">
        <f>MIN(F356,J356)</f>
        <v/>
      </c>
      <c r="M356">
        <f>MIN(K356,MAX(0,F356-(J356-K356)))</f>
        <v/>
      </c>
    </row>
    <row r="357">
      <c r="A357" t="inlineStr">
        <is>
          <t>CLOUDLINE-DC</t>
        </is>
      </c>
      <c r="B357" t="inlineStr">
        <is>
          <t>2026-10-06</t>
        </is>
      </c>
      <c r="C357" t="n">
        <v>1</v>
      </c>
      <c r="D357" t="n">
        <v>19</v>
      </c>
      <c r="E357" t="n">
        <v>2</v>
      </c>
      <c r="F357" t="n">
        <v>15131</v>
      </c>
      <c r="G357" t="n">
        <v>0</v>
      </c>
      <c r="H357" t="n">
        <v>19651</v>
      </c>
      <c r="I357" t="n">
        <v>0</v>
      </c>
      <c r="J357" t="n">
        <v>19651</v>
      </c>
      <c r="K357" t="n">
        <v>0</v>
      </c>
      <c r="L357">
        <f>MIN(F357,J357)</f>
        <v/>
      </c>
      <c r="M357">
        <f>MIN(K357,MAX(0,F357-(J357-K357)))</f>
        <v/>
      </c>
    </row>
    <row r="358">
      <c r="A358" t="inlineStr">
        <is>
          <t>CLOUDLINE-DC</t>
        </is>
      </c>
      <c r="B358" t="inlineStr">
        <is>
          <t>2026-10-06</t>
        </is>
      </c>
      <c r="C358" t="n">
        <v>1</v>
      </c>
      <c r="D358" t="n">
        <v>20</v>
      </c>
      <c r="E358" t="n">
        <v>2</v>
      </c>
      <c r="F358" t="n">
        <v>14241</v>
      </c>
      <c r="G358" t="n">
        <v>0</v>
      </c>
      <c r="H358" t="n">
        <v>19676</v>
      </c>
      <c r="I358" t="n">
        <v>0</v>
      </c>
      <c r="J358" t="n">
        <v>19676</v>
      </c>
      <c r="K358" t="n">
        <v>0</v>
      </c>
      <c r="L358">
        <f>MIN(F358,J358)</f>
        <v/>
      </c>
      <c r="M358">
        <f>MIN(K358,MAX(0,F358-(J358-K358)))</f>
        <v/>
      </c>
    </row>
    <row r="359">
      <c r="A359" t="inlineStr">
        <is>
          <t>CLOUDLINE-DC</t>
        </is>
      </c>
      <c r="B359" t="inlineStr">
        <is>
          <t>2026-10-06</t>
        </is>
      </c>
      <c r="C359" t="n">
        <v>1</v>
      </c>
      <c r="D359" t="n">
        <v>21</v>
      </c>
      <c r="E359" t="n">
        <v>2</v>
      </c>
      <c r="F359" t="n">
        <v>14834</v>
      </c>
      <c r="G359" t="n">
        <v>0</v>
      </c>
      <c r="H359" t="n">
        <v>19574</v>
      </c>
      <c r="I359" t="n">
        <v>0</v>
      </c>
      <c r="J359" t="n">
        <v>19574</v>
      </c>
      <c r="K359" t="n">
        <v>0</v>
      </c>
      <c r="L359">
        <f>MIN(F359,J359)</f>
        <v/>
      </c>
      <c r="M359">
        <f>MIN(K359,MAX(0,F359-(J359-K359)))</f>
        <v/>
      </c>
    </row>
    <row r="360">
      <c r="A360" t="inlineStr">
        <is>
          <t>CLOUDLINE-DC</t>
        </is>
      </c>
      <c r="B360" t="inlineStr">
        <is>
          <t>2026-10-06</t>
        </is>
      </c>
      <c r="C360" t="n">
        <v>1</v>
      </c>
      <c r="D360" t="n">
        <v>22</v>
      </c>
      <c r="E360" t="n">
        <v>2</v>
      </c>
      <c r="F360" t="n">
        <v>15428</v>
      </c>
      <c r="G360" t="n">
        <v>0</v>
      </c>
      <c r="H360" t="n">
        <v>19635</v>
      </c>
      <c r="I360" t="n">
        <v>0</v>
      </c>
      <c r="J360" t="n">
        <v>19635</v>
      </c>
      <c r="K360" t="n">
        <v>0</v>
      </c>
      <c r="L360">
        <f>MIN(F360,J360)</f>
        <v/>
      </c>
      <c r="M360">
        <f>MIN(K360,MAX(0,F360-(J360-K360)))</f>
        <v/>
      </c>
    </row>
    <row r="361">
      <c r="A361" t="inlineStr">
        <is>
          <t>CLOUDLINE-DC</t>
        </is>
      </c>
      <c r="B361" t="inlineStr">
        <is>
          <t>2026-10-06</t>
        </is>
      </c>
      <c r="C361" t="n">
        <v>1</v>
      </c>
      <c r="D361" t="n">
        <v>23</v>
      </c>
      <c r="E361" t="n">
        <v>2</v>
      </c>
      <c r="F361" t="n">
        <v>14538</v>
      </c>
      <c r="G361" t="n">
        <v>0</v>
      </c>
      <c r="H361" t="n">
        <v>19534</v>
      </c>
      <c r="I361" t="n">
        <v>0</v>
      </c>
      <c r="J361" t="n">
        <v>19534</v>
      </c>
      <c r="K361" t="n">
        <v>0</v>
      </c>
      <c r="L361">
        <f>MIN(F361,J361)</f>
        <v/>
      </c>
      <c r="M361">
        <f>MIN(K361,MAX(0,F361-(J361-K361)))</f>
        <v/>
      </c>
    </row>
    <row r="362">
      <c r="A362" t="inlineStr">
        <is>
          <t>CLOUDLINE-DC</t>
        </is>
      </c>
      <c r="B362" t="inlineStr">
        <is>
          <t>2026-10-07</t>
        </is>
      </c>
      <c r="C362" t="n">
        <v>2</v>
      </c>
      <c r="D362" t="n">
        <v>0</v>
      </c>
      <c r="E362" t="n">
        <v>3</v>
      </c>
      <c r="F362" t="n">
        <v>15131</v>
      </c>
      <c r="G362" t="n">
        <v>0</v>
      </c>
      <c r="H362" t="n">
        <v>19261</v>
      </c>
      <c r="I362" t="n">
        <v>0</v>
      </c>
      <c r="J362" t="n">
        <v>19261</v>
      </c>
      <c r="K362" t="n">
        <v>0</v>
      </c>
      <c r="L362">
        <f>MIN(F362,J362)</f>
        <v/>
      </c>
      <c r="M362">
        <f>MIN(K362,MAX(0,F362-(J362-K362)))</f>
        <v/>
      </c>
    </row>
    <row r="363">
      <c r="A363" t="inlineStr">
        <is>
          <t>CLOUDLINE-DC</t>
        </is>
      </c>
      <c r="B363" t="inlineStr">
        <is>
          <t>2026-10-07</t>
        </is>
      </c>
      <c r="C363" t="n">
        <v>2</v>
      </c>
      <c r="D363" t="n">
        <v>1</v>
      </c>
      <c r="E363" t="n">
        <v>3</v>
      </c>
      <c r="F363" t="n">
        <v>14241</v>
      </c>
      <c r="G363" t="n">
        <v>0</v>
      </c>
      <c r="H363" t="n">
        <v>18958</v>
      </c>
      <c r="I363" t="n">
        <v>0</v>
      </c>
      <c r="J363" t="n">
        <v>18958</v>
      </c>
      <c r="K363" t="n">
        <v>0</v>
      </c>
      <c r="L363">
        <f>MIN(F363,J363)</f>
        <v/>
      </c>
      <c r="M363">
        <f>MIN(K363,MAX(0,F363-(J363-K363)))</f>
        <v/>
      </c>
    </row>
    <row r="364">
      <c r="A364" t="inlineStr">
        <is>
          <t>CLOUDLINE-DC</t>
        </is>
      </c>
      <c r="B364" t="inlineStr">
        <is>
          <t>2026-10-07</t>
        </is>
      </c>
      <c r="C364" t="n">
        <v>2</v>
      </c>
      <c r="D364" t="n">
        <v>2</v>
      </c>
      <c r="E364" t="n">
        <v>3</v>
      </c>
      <c r="F364" t="n">
        <v>14834</v>
      </c>
      <c r="G364" t="n">
        <v>0</v>
      </c>
      <c r="H364" t="n">
        <v>18874</v>
      </c>
      <c r="I364" t="n">
        <v>0</v>
      </c>
      <c r="J364" t="n">
        <v>18874</v>
      </c>
      <c r="K364" t="n">
        <v>0</v>
      </c>
      <c r="L364">
        <f>MIN(F364,J364)</f>
        <v/>
      </c>
      <c r="M364">
        <f>MIN(K364,MAX(0,F364-(J364-K364)))</f>
        <v/>
      </c>
    </row>
    <row r="365">
      <c r="A365" t="inlineStr">
        <is>
          <t>CLOUDLINE-DC</t>
        </is>
      </c>
      <c r="B365" t="inlineStr">
        <is>
          <t>2026-10-07</t>
        </is>
      </c>
      <c r="C365" t="n">
        <v>2</v>
      </c>
      <c r="D365" t="n">
        <v>3</v>
      </c>
      <c r="E365" t="n">
        <v>3</v>
      </c>
      <c r="F365" t="n">
        <v>15428</v>
      </c>
      <c r="G365" t="n">
        <v>0</v>
      </c>
      <c r="H365" t="n">
        <v>18803</v>
      </c>
      <c r="I365" t="n">
        <v>0</v>
      </c>
      <c r="J365" t="n">
        <v>18803</v>
      </c>
      <c r="K365" t="n">
        <v>0</v>
      </c>
      <c r="L365">
        <f>MIN(F365,J365)</f>
        <v/>
      </c>
      <c r="M365">
        <f>MIN(K365,MAX(0,F365-(J365-K365)))</f>
        <v/>
      </c>
    </row>
    <row r="366">
      <c r="A366" t="inlineStr">
        <is>
          <t>CLOUDLINE-DC</t>
        </is>
      </c>
      <c r="B366" t="inlineStr">
        <is>
          <t>2026-10-07</t>
        </is>
      </c>
      <c r="C366" t="n">
        <v>2</v>
      </c>
      <c r="D366" t="n">
        <v>4</v>
      </c>
      <c r="E366" t="n">
        <v>3</v>
      </c>
      <c r="F366" t="n">
        <v>14538</v>
      </c>
      <c r="G366" t="n">
        <v>0</v>
      </c>
      <c r="H366" t="n">
        <v>18613</v>
      </c>
      <c r="I366" t="n">
        <v>0</v>
      </c>
      <c r="J366" t="n">
        <v>18613</v>
      </c>
      <c r="K366" t="n">
        <v>0</v>
      </c>
      <c r="L366">
        <f>MIN(F366,J366)</f>
        <v/>
      </c>
      <c r="M366">
        <f>MIN(K366,MAX(0,F366-(J366-K366)))</f>
        <v/>
      </c>
    </row>
    <row r="367">
      <c r="A367" t="inlineStr">
        <is>
          <t>CLOUDLINE-DC</t>
        </is>
      </c>
      <c r="B367" t="inlineStr">
        <is>
          <t>2026-10-07</t>
        </is>
      </c>
      <c r="C367" t="n">
        <v>2</v>
      </c>
      <c r="D367" t="n">
        <v>5</v>
      </c>
      <c r="E367" t="n">
        <v>3</v>
      </c>
      <c r="F367" t="n">
        <v>15131</v>
      </c>
      <c r="G367" t="n">
        <v>0</v>
      </c>
      <c r="H367" t="n">
        <v>18319</v>
      </c>
      <c r="I367" t="n">
        <v>0</v>
      </c>
      <c r="J367" t="n">
        <v>18319</v>
      </c>
      <c r="K367" t="n">
        <v>0</v>
      </c>
      <c r="L367">
        <f>MIN(F367,J367)</f>
        <v/>
      </c>
      <c r="M367">
        <f>MIN(K367,MAX(0,F367-(J367-K367)))</f>
        <v/>
      </c>
    </row>
    <row r="368">
      <c r="A368" t="inlineStr">
        <is>
          <t>CLOUDLINE-DC</t>
        </is>
      </c>
      <c r="B368" t="inlineStr">
        <is>
          <t>2026-10-07</t>
        </is>
      </c>
      <c r="C368" t="n">
        <v>2</v>
      </c>
      <c r="D368" t="n">
        <v>6</v>
      </c>
      <c r="E368" t="n">
        <v>3</v>
      </c>
      <c r="F368" t="n">
        <v>14241</v>
      </c>
      <c r="G368" t="n">
        <v>0</v>
      </c>
      <c r="H368" t="n">
        <v>18389</v>
      </c>
      <c r="I368" t="n">
        <v>0</v>
      </c>
      <c r="J368" t="n">
        <v>18389</v>
      </c>
      <c r="K368" t="n">
        <v>0</v>
      </c>
      <c r="L368">
        <f>MIN(F368,J368)</f>
        <v/>
      </c>
      <c r="M368">
        <f>MIN(K368,MAX(0,F368-(J368-K368)))</f>
        <v/>
      </c>
    </row>
    <row r="369">
      <c r="A369" t="inlineStr">
        <is>
          <t>CLOUDLINE-DC</t>
        </is>
      </c>
      <c r="B369" t="inlineStr">
        <is>
          <t>2026-10-07</t>
        </is>
      </c>
      <c r="C369" t="n">
        <v>2</v>
      </c>
      <c r="D369" t="n">
        <v>7</v>
      </c>
      <c r="E369" t="n">
        <v>3</v>
      </c>
      <c r="F369" t="n">
        <v>14834</v>
      </c>
      <c r="G369" t="n">
        <v>0</v>
      </c>
      <c r="H369" t="n">
        <v>18379</v>
      </c>
      <c r="I369" t="n">
        <v>0</v>
      </c>
      <c r="J369" t="n">
        <v>18379</v>
      </c>
      <c r="K369" t="n">
        <v>0</v>
      </c>
      <c r="L369">
        <f>MIN(F369,J369)</f>
        <v/>
      </c>
      <c r="M369">
        <f>MIN(K369,MAX(0,F369-(J369-K369)))</f>
        <v/>
      </c>
    </row>
    <row r="370">
      <c r="A370" t="inlineStr">
        <is>
          <t>CLOUDLINE-DC</t>
        </is>
      </c>
      <c r="B370" t="inlineStr">
        <is>
          <t>2026-10-07</t>
        </is>
      </c>
      <c r="C370" t="n">
        <v>2</v>
      </c>
      <c r="D370" t="n">
        <v>8</v>
      </c>
      <c r="E370" t="n">
        <v>3</v>
      </c>
      <c r="F370" t="n">
        <v>15428</v>
      </c>
      <c r="G370" t="n">
        <v>0</v>
      </c>
      <c r="H370" t="n">
        <v>18187</v>
      </c>
      <c r="I370" t="n">
        <v>0</v>
      </c>
      <c r="J370" t="n">
        <v>18187</v>
      </c>
      <c r="K370" t="n">
        <v>0</v>
      </c>
      <c r="L370">
        <f>MIN(F370,J370)</f>
        <v/>
      </c>
      <c r="M370">
        <f>MIN(K370,MAX(0,F370-(J370-K370)))</f>
        <v/>
      </c>
    </row>
    <row r="371">
      <c r="A371" t="inlineStr">
        <is>
          <t>CLOUDLINE-DC</t>
        </is>
      </c>
      <c r="B371" t="inlineStr">
        <is>
          <t>2026-10-07</t>
        </is>
      </c>
      <c r="C371" t="n">
        <v>2</v>
      </c>
      <c r="D371" t="n">
        <v>9</v>
      </c>
      <c r="E371" t="n">
        <v>3</v>
      </c>
      <c r="F371" t="n">
        <v>14538</v>
      </c>
      <c r="G371" t="n">
        <v>0</v>
      </c>
      <c r="H371" t="n">
        <v>18436</v>
      </c>
      <c r="I371" t="n">
        <v>0</v>
      </c>
      <c r="J371" t="n">
        <v>18436</v>
      </c>
      <c r="K371" t="n">
        <v>0</v>
      </c>
      <c r="L371">
        <f>MIN(F371,J371)</f>
        <v/>
      </c>
      <c r="M371">
        <f>MIN(K371,MAX(0,F371-(J371-K371)))</f>
        <v/>
      </c>
    </row>
    <row r="372">
      <c r="A372" t="inlineStr">
        <is>
          <t>CLOUDLINE-DC</t>
        </is>
      </c>
      <c r="B372" t="inlineStr">
        <is>
          <t>2026-10-07</t>
        </is>
      </c>
      <c r="C372" t="n">
        <v>2</v>
      </c>
      <c r="D372" t="n">
        <v>10</v>
      </c>
      <c r="E372" t="n">
        <v>3</v>
      </c>
      <c r="F372" t="n">
        <v>15131</v>
      </c>
      <c r="G372" t="n">
        <v>0</v>
      </c>
      <c r="H372" t="n">
        <v>18039</v>
      </c>
      <c r="I372" t="n">
        <v>0</v>
      </c>
      <c r="J372" t="n">
        <v>18039</v>
      </c>
      <c r="K372" t="n">
        <v>0</v>
      </c>
      <c r="L372">
        <f>MIN(F372,J372)</f>
        <v/>
      </c>
      <c r="M372">
        <f>MIN(K372,MAX(0,F372-(J372-K372)))</f>
        <v/>
      </c>
    </row>
    <row r="373">
      <c r="A373" t="inlineStr">
        <is>
          <t>CLOUDLINE-DC</t>
        </is>
      </c>
      <c r="B373" t="inlineStr">
        <is>
          <t>2026-10-07</t>
        </is>
      </c>
      <c r="C373" t="n">
        <v>2</v>
      </c>
      <c r="D373" t="n">
        <v>11</v>
      </c>
      <c r="E373" t="n">
        <v>3</v>
      </c>
      <c r="F373" t="n">
        <v>14241</v>
      </c>
      <c r="G373" t="n">
        <v>0</v>
      </c>
      <c r="H373" t="n">
        <v>17748</v>
      </c>
      <c r="I373" t="n">
        <v>0</v>
      </c>
      <c r="J373" t="n">
        <v>17748</v>
      </c>
      <c r="K373" t="n">
        <v>0</v>
      </c>
      <c r="L373">
        <f>MIN(F373,J373)</f>
        <v/>
      </c>
      <c r="M373">
        <f>MIN(K373,MAX(0,F373-(J373-K373)))</f>
        <v/>
      </c>
    </row>
    <row r="374">
      <c r="A374" t="inlineStr">
        <is>
          <t>CLOUDLINE-DC</t>
        </is>
      </c>
      <c r="B374" t="inlineStr">
        <is>
          <t>2026-10-07</t>
        </is>
      </c>
      <c r="C374" t="n">
        <v>2</v>
      </c>
      <c r="D374" t="n">
        <v>12</v>
      </c>
      <c r="E374" t="n">
        <v>3</v>
      </c>
      <c r="F374" t="n">
        <v>14834</v>
      </c>
      <c r="G374" t="n">
        <v>0</v>
      </c>
      <c r="H374" t="n">
        <v>18010</v>
      </c>
      <c r="I374" t="n">
        <v>0</v>
      </c>
      <c r="J374" t="n">
        <v>18010</v>
      </c>
      <c r="K374" t="n">
        <v>0</v>
      </c>
      <c r="L374">
        <f>MIN(F374,J374)</f>
        <v/>
      </c>
      <c r="M374">
        <f>MIN(K374,MAX(0,F374-(J374-K374)))</f>
        <v/>
      </c>
    </row>
    <row r="375">
      <c r="A375" t="inlineStr">
        <is>
          <t>CLOUDLINE-DC</t>
        </is>
      </c>
      <c r="B375" t="inlineStr">
        <is>
          <t>2026-10-07</t>
        </is>
      </c>
      <c r="C375" t="n">
        <v>2</v>
      </c>
      <c r="D375" t="n">
        <v>13</v>
      </c>
      <c r="E375" t="n">
        <v>3</v>
      </c>
      <c r="F375" t="n">
        <v>15428</v>
      </c>
      <c r="G375" t="n">
        <v>0</v>
      </c>
      <c r="H375" t="n">
        <v>18072</v>
      </c>
      <c r="I375" t="n">
        <v>0</v>
      </c>
      <c r="J375" t="n">
        <v>18072</v>
      </c>
      <c r="K375" t="n">
        <v>0</v>
      </c>
      <c r="L375">
        <f>MIN(F375,J375)</f>
        <v/>
      </c>
      <c r="M375">
        <f>MIN(K375,MAX(0,F375-(J375-K375)))</f>
        <v/>
      </c>
    </row>
    <row r="376">
      <c r="A376" t="inlineStr">
        <is>
          <t>CLOUDLINE-DC</t>
        </is>
      </c>
      <c r="B376" t="inlineStr">
        <is>
          <t>2026-10-07</t>
        </is>
      </c>
      <c r="C376" t="n">
        <v>2</v>
      </c>
      <c r="D376" t="n">
        <v>14</v>
      </c>
      <c r="E376" t="n">
        <v>3</v>
      </c>
      <c r="F376" t="n">
        <v>14538</v>
      </c>
      <c r="G376" t="n">
        <v>0</v>
      </c>
      <c r="H376" t="n">
        <v>18398</v>
      </c>
      <c r="I376" t="n">
        <v>0</v>
      </c>
      <c r="J376" t="n">
        <v>18398</v>
      </c>
      <c r="K376" t="n">
        <v>0</v>
      </c>
      <c r="L376">
        <f>MIN(F376,J376)</f>
        <v/>
      </c>
      <c r="M376">
        <f>MIN(K376,MAX(0,F376-(J376-K376)))</f>
        <v/>
      </c>
    </row>
    <row r="377">
      <c r="A377" t="inlineStr">
        <is>
          <t>CLOUDLINE-DC</t>
        </is>
      </c>
      <c r="B377" t="inlineStr">
        <is>
          <t>2026-10-07</t>
        </is>
      </c>
      <c r="C377" t="n">
        <v>2</v>
      </c>
      <c r="D377" t="n">
        <v>15</v>
      </c>
      <c r="E377" t="n">
        <v>3</v>
      </c>
      <c r="F377" t="n">
        <v>15131</v>
      </c>
      <c r="G377" t="n">
        <v>0</v>
      </c>
      <c r="H377" t="n">
        <v>19214</v>
      </c>
      <c r="I377" t="n">
        <v>0</v>
      </c>
      <c r="J377" t="n">
        <v>19214</v>
      </c>
      <c r="K377" t="n">
        <v>0</v>
      </c>
      <c r="L377">
        <f>MIN(F377,J377)</f>
        <v/>
      </c>
      <c r="M377">
        <f>MIN(K377,MAX(0,F377-(J377-K377)))</f>
        <v/>
      </c>
    </row>
    <row r="378">
      <c r="A378" t="inlineStr">
        <is>
          <t>CLOUDLINE-DC</t>
        </is>
      </c>
      <c r="B378" t="inlineStr">
        <is>
          <t>2026-10-07</t>
        </is>
      </c>
      <c r="C378" t="n">
        <v>2</v>
      </c>
      <c r="D378" t="n">
        <v>16</v>
      </c>
      <c r="E378" t="n">
        <v>3</v>
      </c>
      <c r="F378" t="n">
        <v>14241</v>
      </c>
      <c r="G378" t="n">
        <v>0</v>
      </c>
      <c r="H378" t="n">
        <v>19122</v>
      </c>
      <c r="I378" t="n">
        <v>0</v>
      </c>
      <c r="J378" t="n">
        <v>19122</v>
      </c>
      <c r="K378" t="n">
        <v>0</v>
      </c>
      <c r="L378">
        <f>MIN(F378,J378)</f>
        <v/>
      </c>
      <c r="M378">
        <f>MIN(K378,MAX(0,F378-(J378-K378)))</f>
        <v/>
      </c>
    </row>
    <row r="379">
      <c r="A379" t="inlineStr">
        <is>
          <t>CLOUDLINE-DC</t>
        </is>
      </c>
      <c r="B379" t="inlineStr">
        <is>
          <t>2026-10-07</t>
        </is>
      </c>
      <c r="C379" t="n">
        <v>2</v>
      </c>
      <c r="D379" t="n">
        <v>17</v>
      </c>
      <c r="E379" t="n">
        <v>3</v>
      </c>
      <c r="F379" t="n">
        <v>14834</v>
      </c>
      <c r="G379" t="n">
        <v>0</v>
      </c>
      <c r="H379" t="n">
        <v>19134</v>
      </c>
      <c r="I379" t="n">
        <v>0</v>
      </c>
      <c r="J379" t="n">
        <v>19134</v>
      </c>
      <c r="K379" t="n">
        <v>0</v>
      </c>
      <c r="L379">
        <f>MIN(F379,J379)</f>
        <v/>
      </c>
      <c r="M379">
        <f>MIN(K379,MAX(0,F379-(J379-K379)))</f>
        <v/>
      </c>
    </row>
    <row r="380">
      <c r="A380" t="inlineStr">
        <is>
          <t>CLOUDLINE-DC</t>
        </is>
      </c>
      <c r="B380" t="inlineStr">
        <is>
          <t>2026-10-07</t>
        </is>
      </c>
      <c r="C380" t="n">
        <v>2</v>
      </c>
      <c r="D380" t="n">
        <v>18</v>
      </c>
      <c r="E380" t="n">
        <v>3</v>
      </c>
      <c r="F380" t="n">
        <v>15428</v>
      </c>
      <c r="G380" t="n">
        <v>0</v>
      </c>
      <c r="H380" t="n">
        <v>19156</v>
      </c>
      <c r="I380" t="n">
        <v>0</v>
      </c>
      <c r="J380" t="n">
        <v>19156</v>
      </c>
      <c r="K380" t="n">
        <v>0</v>
      </c>
      <c r="L380">
        <f>MIN(F380,J380)</f>
        <v/>
      </c>
      <c r="M380">
        <f>MIN(K380,MAX(0,F380-(J380-K380)))</f>
        <v/>
      </c>
    </row>
    <row r="381">
      <c r="A381" t="inlineStr">
        <is>
          <t>CLOUDLINE-DC</t>
        </is>
      </c>
      <c r="B381" t="inlineStr">
        <is>
          <t>2026-10-07</t>
        </is>
      </c>
      <c r="C381" t="n">
        <v>2</v>
      </c>
      <c r="D381" t="n">
        <v>19</v>
      </c>
      <c r="E381" t="n">
        <v>3</v>
      </c>
      <c r="F381" t="n">
        <v>14538</v>
      </c>
      <c r="G381" t="n">
        <v>0</v>
      </c>
      <c r="H381" t="n">
        <v>19228</v>
      </c>
      <c r="I381" t="n">
        <v>0</v>
      </c>
      <c r="J381" t="n">
        <v>19228</v>
      </c>
      <c r="K381" t="n">
        <v>0</v>
      </c>
      <c r="L381">
        <f>MIN(F381,J381)</f>
        <v/>
      </c>
      <c r="M381">
        <f>MIN(K381,MAX(0,F381-(J381-K381)))</f>
        <v/>
      </c>
    </row>
    <row r="382">
      <c r="A382" t="inlineStr">
        <is>
          <t>CLOUDLINE-DC</t>
        </is>
      </c>
      <c r="B382" t="inlineStr">
        <is>
          <t>2026-10-07</t>
        </is>
      </c>
      <c r="C382" t="n">
        <v>2</v>
      </c>
      <c r="D382" t="n">
        <v>20</v>
      </c>
      <c r="E382" t="n">
        <v>3</v>
      </c>
      <c r="F382" t="n">
        <v>15131</v>
      </c>
      <c r="G382" t="n">
        <v>0</v>
      </c>
      <c r="H382" t="n">
        <v>19068</v>
      </c>
      <c r="I382" t="n">
        <v>0</v>
      </c>
      <c r="J382" t="n">
        <v>19068</v>
      </c>
      <c r="K382" t="n">
        <v>0</v>
      </c>
      <c r="L382">
        <f>MIN(F382,J382)</f>
        <v/>
      </c>
      <c r="M382">
        <f>MIN(K382,MAX(0,F382-(J382-K382)))</f>
        <v/>
      </c>
    </row>
    <row r="383">
      <c r="A383" t="inlineStr">
        <is>
          <t>CLOUDLINE-DC</t>
        </is>
      </c>
      <c r="B383" t="inlineStr">
        <is>
          <t>2026-10-07</t>
        </is>
      </c>
      <c r="C383" t="n">
        <v>2</v>
      </c>
      <c r="D383" t="n">
        <v>21</v>
      </c>
      <c r="E383" t="n">
        <v>3</v>
      </c>
      <c r="F383" t="n">
        <v>14241</v>
      </c>
      <c r="G383" t="n">
        <v>0</v>
      </c>
      <c r="H383" t="n">
        <v>18750</v>
      </c>
      <c r="I383" t="n">
        <v>0</v>
      </c>
      <c r="J383" t="n">
        <v>18750</v>
      </c>
      <c r="K383" t="n">
        <v>0</v>
      </c>
      <c r="L383">
        <f>MIN(F383,J383)</f>
        <v/>
      </c>
      <c r="M383">
        <f>MIN(K383,MAX(0,F383-(J383-K383)))</f>
        <v/>
      </c>
    </row>
    <row r="384">
      <c r="A384" t="inlineStr">
        <is>
          <t>CLOUDLINE-DC</t>
        </is>
      </c>
      <c r="B384" t="inlineStr">
        <is>
          <t>2026-10-07</t>
        </is>
      </c>
      <c r="C384" t="n">
        <v>2</v>
      </c>
      <c r="D384" t="n">
        <v>22</v>
      </c>
      <c r="E384" t="n">
        <v>3</v>
      </c>
      <c r="F384" t="n">
        <v>14834</v>
      </c>
      <c r="G384" t="n">
        <v>0</v>
      </c>
      <c r="H384" t="n">
        <v>18595</v>
      </c>
      <c r="I384" t="n">
        <v>0</v>
      </c>
      <c r="J384" t="n">
        <v>18595</v>
      </c>
      <c r="K384" t="n">
        <v>0</v>
      </c>
      <c r="L384">
        <f>MIN(F384,J384)</f>
        <v/>
      </c>
      <c r="M384">
        <f>MIN(K384,MAX(0,F384-(J384-K384)))</f>
        <v/>
      </c>
    </row>
    <row r="385">
      <c r="A385" t="inlineStr">
        <is>
          <t>CLOUDLINE-DC</t>
        </is>
      </c>
      <c r="B385" t="inlineStr">
        <is>
          <t>2026-10-07</t>
        </is>
      </c>
      <c r="C385" t="n">
        <v>2</v>
      </c>
      <c r="D385" t="n">
        <v>23</v>
      </c>
      <c r="E385" t="n">
        <v>3</v>
      </c>
      <c r="F385" t="n">
        <v>15428</v>
      </c>
      <c r="G385" t="n">
        <v>0</v>
      </c>
      <c r="H385" t="n">
        <v>18095</v>
      </c>
      <c r="I385" t="n">
        <v>0</v>
      </c>
      <c r="J385" t="n">
        <v>18095</v>
      </c>
      <c r="K385" t="n">
        <v>0</v>
      </c>
      <c r="L385">
        <f>MIN(F385,J385)</f>
        <v/>
      </c>
      <c r="M385">
        <f>MIN(K385,MAX(0,F385-(J385-K385)))</f>
        <v/>
      </c>
    </row>
    <row r="386">
      <c r="A386" t="inlineStr">
        <is>
          <t>CLOUDLINE-DC</t>
        </is>
      </c>
      <c r="B386" t="inlineStr">
        <is>
          <t>2026-10-08</t>
        </is>
      </c>
      <c r="C386" t="n">
        <v>3</v>
      </c>
      <c r="D386" t="n">
        <v>0</v>
      </c>
      <c r="E386" t="n">
        <v>4</v>
      </c>
      <c r="F386" t="n">
        <v>14538</v>
      </c>
      <c r="G386" t="n">
        <v>0</v>
      </c>
      <c r="H386" t="n">
        <v>16994</v>
      </c>
      <c r="I386" t="n">
        <v>0</v>
      </c>
      <c r="J386" t="n">
        <v>16994</v>
      </c>
      <c r="K386" t="n">
        <v>0</v>
      </c>
      <c r="L386">
        <f>MIN(F386,J386)</f>
        <v/>
      </c>
      <c r="M386">
        <f>MIN(K386,MAX(0,F386-(J386-K386)))</f>
        <v/>
      </c>
    </row>
    <row r="387">
      <c r="A387" t="inlineStr">
        <is>
          <t>CLOUDLINE-DC</t>
        </is>
      </c>
      <c r="B387" t="inlineStr">
        <is>
          <t>2026-10-08</t>
        </is>
      </c>
      <c r="C387" t="n">
        <v>3</v>
      </c>
      <c r="D387" t="n">
        <v>1</v>
      </c>
      <c r="E387" t="n">
        <v>4</v>
      </c>
      <c r="F387" t="n">
        <v>15131</v>
      </c>
      <c r="G387" t="n">
        <v>0</v>
      </c>
      <c r="H387" t="n">
        <v>15870</v>
      </c>
      <c r="I387" t="n">
        <v>0</v>
      </c>
      <c r="J387" t="n">
        <v>15870</v>
      </c>
      <c r="K387" t="n">
        <v>0</v>
      </c>
      <c r="L387">
        <f>MIN(F387,J387)</f>
        <v/>
      </c>
      <c r="M387">
        <f>MIN(K387,MAX(0,F387-(J387-K387)))</f>
        <v/>
      </c>
    </row>
    <row r="388">
      <c r="A388" t="inlineStr">
        <is>
          <t>CLOUDLINE-DC</t>
        </is>
      </c>
      <c r="B388" t="inlineStr">
        <is>
          <t>2026-10-08</t>
        </is>
      </c>
      <c r="C388" t="n">
        <v>3</v>
      </c>
      <c r="D388" t="n">
        <v>2</v>
      </c>
      <c r="E388" t="n">
        <v>4</v>
      </c>
      <c r="F388" t="n">
        <v>14241</v>
      </c>
      <c r="G388" t="n">
        <v>0</v>
      </c>
      <c r="H388" t="n">
        <v>15060</v>
      </c>
      <c r="I388" t="n">
        <v>0</v>
      </c>
      <c r="J388" t="n">
        <v>15060</v>
      </c>
      <c r="K388" t="n">
        <v>0</v>
      </c>
      <c r="L388">
        <f>MIN(F388,J388)</f>
        <v/>
      </c>
      <c r="M388">
        <f>MIN(K388,MAX(0,F388-(J388-K388)))</f>
        <v/>
      </c>
    </row>
    <row r="389">
      <c r="A389" t="inlineStr">
        <is>
          <t>CLOUDLINE-DC</t>
        </is>
      </c>
      <c r="B389" t="inlineStr">
        <is>
          <t>2026-10-08</t>
        </is>
      </c>
      <c r="C389" t="n">
        <v>3</v>
      </c>
      <c r="D389" t="n">
        <v>3</v>
      </c>
      <c r="E389" t="n">
        <v>4</v>
      </c>
      <c r="F389" t="n">
        <v>14834</v>
      </c>
      <c r="G389" t="n">
        <v>0</v>
      </c>
      <c r="H389" t="n">
        <v>13943</v>
      </c>
      <c r="I389" t="n">
        <v>0</v>
      </c>
      <c r="J389" t="n">
        <v>13943</v>
      </c>
      <c r="K389" t="n">
        <v>0</v>
      </c>
      <c r="L389">
        <f>MIN(F389,J389)</f>
        <v/>
      </c>
      <c r="M389">
        <f>MIN(K389,MAX(0,F389-(J389-K389)))</f>
        <v/>
      </c>
    </row>
    <row r="390">
      <c r="A390" t="inlineStr">
        <is>
          <t>CLOUDLINE-DC</t>
        </is>
      </c>
      <c r="B390" t="inlineStr">
        <is>
          <t>2026-10-08</t>
        </is>
      </c>
      <c r="C390" t="n">
        <v>3</v>
      </c>
      <c r="D390" t="n">
        <v>4</v>
      </c>
      <c r="E390" t="n">
        <v>4</v>
      </c>
      <c r="F390" t="n">
        <v>15428</v>
      </c>
      <c r="G390" t="n">
        <v>0</v>
      </c>
      <c r="H390" t="n">
        <v>12589</v>
      </c>
      <c r="I390" t="n">
        <v>0</v>
      </c>
      <c r="J390" t="n">
        <v>12589</v>
      </c>
      <c r="K390" t="n">
        <v>0</v>
      </c>
      <c r="L390">
        <f>MIN(F390,J390)</f>
        <v/>
      </c>
      <c r="M390">
        <f>MIN(K390,MAX(0,F390-(J390-K390)))</f>
        <v/>
      </c>
    </row>
    <row r="391">
      <c r="A391" t="inlineStr">
        <is>
          <t>CLOUDLINE-DC</t>
        </is>
      </c>
      <c r="B391" t="inlineStr">
        <is>
          <t>2026-10-08</t>
        </is>
      </c>
      <c r="C391" t="n">
        <v>3</v>
      </c>
      <c r="D391" t="n">
        <v>5</v>
      </c>
      <c r="E391" t="n">
        <v>4</v>
      </c>
      <c r="F391" t="n">
        <v>14538</v>
      </c>
      <c r="G391" t="n">
        <v>0</v>
      </c>
      <c r="H391" t="n">
        <v>11661</v>
      </c>
      <c r="I391" t="n">
        <v>0</v>
      </c>
      <c r="J391" t="n">
        <v>11661</v>
      </c>
      <c r="K391" t="n">
        <v>0</v>
      </c>
      <c r="L391">
        <f>MIN(F391,J391)</f>
        <v/>
      </c>
      <c r="M391">
        <f>MIN(K391,MAX(0,F391-(J391-K391)))</f>
        <v/>
      </c>
    </row>
    <row r="392">
      <c r="A392" t="inlineStr">
        <is>
          <t>CLOUDLINE-DC</t>
        </is>
      </c>
      <c r="B392" t="inlineStr">
        <is>
          <t>2026-10-08</t>
        </is>
      </c>
      <c r="C392" t="n">
        <v>3</v>
      </c>
      <c r="D392" t="n">
        <v>6</v>
      </c>
      <c r="E392" t="n">
        <v>4</v>
      </c>
      <c r="F392" t="n">
        <v>15131</v>
      </c>
      <c r="G392" t="n">
        <v>0</v>
      </c>
      <c r="H392" t="n">
        <v>10897</v>
      </c>
      <c r="I392" t="n">
        <v>0</v>
      </c>
      <c r="J392" t="n">
        <v>10897</v>
      </c>
      <c r="K392" t="n">
        <v>0</v>
      </c>
      <c r="L392">
        <f>MIN(F392,J392)</f>
        <v/>
      </c>
      <c r="M392">
        <f>MIN(K392,MAX(0,F392-(J392-K392)))</f>
        <v/>
      </c>
    </row>
    <row r="393">
      <c r="A393" t="inlineStr">
        <is>
          <t>CLOUDLINE-DC</t>
        </is>
      </c>
      <c r="B393" t="inlineStr">
        <is>
          <t>2026-10-08</t>
        </is>
      </c>
      <c r="C393" t="n">
        <v>3</v>
      </c>
      <c r="D393" t="n">
        <v>7</v>
      </c>
      <c r="E393" t="n">
        <v>4</v>
      </c>
      <c r="F393" t="n">
        <v>14241</v>
      </c>
      <c r="G393" t="n">
        <v>0</v>
      </c>
      <c r="H393" t="n">
        <v>10541</v>
      </c>
      <c r="I393" t="n">
        <v>0</v>
      </c>
      <c r="J393" t="n">
        <v>10541</v>
      </c>
      <c r="K393" t="n">
        <v>0</v>
      </c>
      <c r="L393">
        <f>MIN(F393,J393)</f>
        <v/>
      </c>
      <c r="M393">
        <f>MIN(K393,MAX(0,F393-(J393-K393)))</f>
        <v/>
      </c>
    </row>
    <row r="394">
      <c r="A394" t="inlineStr">
        <is>
          <t>CLOUDLINE-DC</t>
        </is>
      </c>
      <c r="B394" t="inlineStr">
        <is>
          <t>2026-10-08</t>
        </is>
      </c>
      <c r="C394" t="n">
        <v>3</v>
      </c>
      <c r="D394" t="n">
        <v>8</v>
      </c>
      <c r="E394" t="n">
        <v>4</v>
      </c>
      <c r="F394" t="n">
        <v>14834</v>
      </c>
      <c r="G394" t="n">
        <v>0</v>
      </c>
      <c r="H394" t="n">
        <v>10499</v>
      </c>
      <c r="I394" t="n">
        <v>0</v>
      </c>
      <c r="J394" t="n">
        <v>10499</v>
      </c>
      <c r="K394" t="n">
        <v>0</v>
      </c>
      <c r="L394">
        <f>MIN(F394,J394)</f>
        <v/>
      </c>
      <c r="M394">
        <f>MIN(K394,MAX(0,F394-(J394-K394)))</f>
        <v/>
      </c>
    </row>
    <row r="395">
      <c r="A395" t="inlineStr">
        <is>
          <t>CLOUDLINE-DC</t>
        </is>
      </c>
      <c r="B395" t="inlineStr">
        <is>
          <t>2026-10-08</t>
        </is>
      </c>
      <c r="C395" t="n">
        <v>3</v>
      </c>
      <c r="D395" t="n">
        <v>9</v>
      </c>
      <c r="E395" t="n">
        <v>4</v>
      </c>
      <c r="F395" t="n">
        <v>15428</v>
      </c>
      <c r="G395" t="n">
        <v>0</v>
      </c>
      <c r="H395" t="n">
        <v>10292</v>
      </c>
      <c r="I395" t="n">
        <v>0</v>
      </c>
      <c r="J395" t="n">
        <v>10292</v>
      </c>
      <c r="K395" t="n">
        <v>0</v>
      </c>
      <c r="L395">
        <f>MIN(F395,J395)</f>
        <v/>
      </c>
      <c r="M395">
        <f>MIN(K395,MAX(0,F395-(J395-K395)))</f>
        <v/>
      </c>
    </row>
    <row r="396">
      <c r="A396" t="inlineStr">
        <is>
          <t>CLOUDLINE-DC</t>
        </is>
      </c>
      <c r="B396" t="inlineStr">
        <is>
          <t>2026-10-08</t>
        </is>
      </c>
      <c r="C396" t="n">
        <v>3</v>
      </c>
      <c r="D396" t="n">
        <v>10</v>
      </c>
      <c r="E396" t="n">
        <v>4</v>
      </c>
      <c r="F396" t="n">
        <v>14538</v>
      </c>
      <c r="G396" t="n">
        <v>0</v>
      </c>
      <c r="H396" t="n">
        <v>10415</v>
      </c>
      <c r="I396" t="n">
        <v>0</v>
      </c>
      <c r="J396" t="n">
        <v>10415</v>
      </c>
      <c r="K396" t="n">
        <v>0</v>
      </c>
      <c r="L396">
        <f>MIN(F396,J396)</f>
        <v/>
      </c>
      <c r="M396">
        <f>MIN(K396,MAX(0,F396-(J396-K396)))</f>
        <v/>
      </c>
    </row>
    <row r="397">
      <c r="A397" t="inlineStr">
        <is>
          <t>CLOUDLINE-DC</t>
        </is>
      </c>
      <c r="B397" t="inlineStr">
        <is>
          <t>2026-10-08</t>
        </is>
      </c>
      <c r="C397" t="n">
        <v>3</v>
      </c>
      <c r="D397" t="n">
        <v>11</v>
      </c>
      <c r="E397" t="n">
        <v>4</v>
      </c>
      <c r="F397" t="n">
        <v>15131</v>
      </c>
      <c r="G397" t="n">
        <v>0</v>
      </c>
      <c r="H397" t="n">
        <v>10978</v>
      </c>
      <c r="I397" t="n">
        <v>0</v>
      </c>
      <c r="J397" t="n">
        <v>10978</v>
      </c>
      <c r="K397" t="n">
        <v>0</v>
      </c>
      <c r="L397">
        <f>MIN(F397,J397)</f>
        <v/>
      </c>
      <c r="M397">
        <f>MIN(K397,MAX(0,F397-(J397-K397)))</f>
        <v/>
      </c>
    </row>
    <row r="398">
      <c r="A398" t="inlineStr">
        <is>
          <t>CLOUDLINE-DC</t>
        </is>
      </c>
      <c r="B398" t="inlineStr">
        <is>
          <t>2026-10-08</t>
        </is>
      </c>
      <c r="C398" t="n">
        <v>3</v>
      </c>
      <c r="D398" t="n">
        <v>12</v>
      </c>
      <c r="E398" t="n">
        <v>4</v>
      </c>
      <c r="F398" t="n">
        <v>14241</v>
      </c>
      <c r="G398" t="n">
        <v>0</v>
      </c>
      <c r="H398" t="n">
        <v>11630</v>
      </c>
      <c r="I398" t="n">
        <v>0</v>
      </c>
      <c r="J398" t="n">
        <v>11630</v>
      </c>
      <c r="K398" t="n">
        <v>0</v>
      </c>
      <c r="L398">
        <f>MIN(F398,J398)</f>
        <v/>
      </c>
      <c r="M398">
        <f>MIN(K398,MAX(0,F398-(J398-K398)))</f>
        <v/>
      </c>
    </row>
    <row r="399">
      <c r="A399" t="inlineStr">
        <is>
          <t>CLOUDLINE-DC</t>
        </is>
      </c>
      <c r="B399" t="inlineStr">
        <is>
          <t>2026-10-08</t>
        </is>
      </c>
      <c r="C399" t="n">
        <v>3</v>
      </c>
      <c r="D399" t="n">
        <v>13</v>
      </c>
      <c r="E399" t="n">
        <v>4</v>
      </c>
      <c r="F399" t="n">
        <v>14834</v>
      </c>
      <c r="G399" t="n">
        <v>0</v>
      </c>
      <c r="H399" t="n">
        <v>12589</v>
      </c>
      <c r="I399" t="n">
        <v>0</v>
      </c>
      <c r="J399" t="n">
        <v>12589</v>
      </c>
      <c r="K399" t="n">
        <v>0</v>
      </c>
      <c r="L399">
        <f>MIN(F399,J399)</f>
        <v/>
      </c>
      <c r="M399">
        <f>MIN(K399,MAX(0,F399-(J399-K399)))</f>
        <v/>
      </c>
    </row>
    <row r="400">
      <c r="A400" t="inlineStr">
        <is>
          <t>CLOUDLINE-DC</t>
        </is>
      </c>
      <c r="B400" t="inlineStr">
        <is>
          <t>2026-10-08</t>
        </is>
      </c>
      <c r="C400" t="n">
        <v>3</v>
      </c>
      <c r="D400" t="n">
        <v>14</v>
      </c>
      <c r="E400" t="n">
        <v>4</v>
      </c>
      <c r="F400" t="n">
        <v>15428</v>
      </c>
      <c r="G400" t="n">
        <v>0</v>
      </c>
      <c r="H400" t="n">
        <v>14294</v>
      </c>
      <c r="I400" t="n">
        <v>0</v>
      </c>
      <c r="J400" t="n">
        <v>14294</v>
      </c>
      <c r="K400" t="n">
        <v>0</v>
      </c>
      <c r="L400">
        <f>MIN(F400,J400)</f>
        <v/>
      </c>
      <c r="M400">
        <f>MIN(K400,MAX(0,F400-(J400-K400)))</f>
        <v/>
      </c>
    </row>
    <row r="401">
      <c r="A401" t="inlineStr">
        <is>
          <t>CLOUDLINE-DC</t>
        </is>
      </c>
      <c r="B401" t="inlineStr">
        <is>
          <t>2026-10-08</t>
        </is>
      </c>
      <c r="C401" t="n">
        <v>3</v>
      </c>
      <c r="D401" t="n">
        <v>15</v>
      </c>
      <c r="E401" t="n">
        <v>4</v>
      </c>
      <c r="F401" t="n">
        <v>14538</v>
      </c>
      <c r="G401" t="n">
        <v>0</v>
      </c>
      <c r="H401" t="n">
        <v>15983</v>
      </c>
      <c r="I401" t="n">
        <v>0</v>
      </c>
      <c r="J401" t="n">
        <v>15983</v>
      </c>
      <c r="K401" t="n">
        <v>0</v>
      </c>
      <c r="L401">
        <f>MIN(F401,J401)</f>
        <v/>
      </c>
      <c r="M401">
        <f>MIN(K401,MAX(0,F401-(J401-K401)))</f>
        <v/>
      </c>
    </row>
    <row r="402">
      <c r="A402" t="inlineStr">
        <is>
          <t>CLOUDLINE-DC</t>
        </is>
      </c>
      <c r="B402" t="inlineStr">
        <is>
          <t>2026-10-08</t>
        </is>
      </c>
      <c r="C402" t="n">
        <v>3</v>
      </c>
      <c r="D402" t="n">
        <v>16</v>
      </c>
      <c r="E402" t="n">
        <v>4</v>
      </c>
      <c r="F402" t="n">
        <v>15131</v>
      </c>
      <c r="G402" t="n">
        <v>0</v>
      </c>
      <c r="H402" t="n">
        <v>17669</v>
      </c>
      <c r="I402" t="n">
        <v>0</v>
      </c>
      <c r="J402" t="n">
        <v>17669</v>
      </c>
      <c r="K402" t="n">
        <v>0</v>
      </c>
      <c r="L402">
        <f>MIN(F402,J402)</f>
        <v/>
      </c>
      <c r="M402">
        <f>MIN(K402,MAX(0,F402-(J402-K402)))</f>
        <v/>
      </c>
    </row>
    <row r="403">
      <c r="A403" t="inlineStr">
        <is>
          <t>CLOUDLINE-DC</t>
        </is>
      </c>
      <c r="B403" t="inlineStr">
        <is>
          <t>2026-10-08</t>
        </is>
      </c>
      <c r="C403" t="n">
        <v>3</v>
      </c>
      <c r="D403" t="n">
        <v>17</v>
      </c>
      <c r="E403" t="n">
        <v>4</v>
      </c>
      <c r="F403" t="n">
        <v>14241</v>
      </c>
      <c r="G403" t="n">
        <v>0</v>
      </c>
      <c r="H403" t="n">
        <v>18517</v>
      </c>
      <c r="I403" t="n">
        <v>0</v>
      </c>
      <c r="J403" t="n">
        <v>18517</v>
      </c>
      <c r="K403" t="n">
        <v>0</v>
      </c>
      <c r="L403">
        <f>MIN(F403,J403)</f>
        <v/>
      </c>
      <c r="M403">
        <f>MIN(K403,MAX(0,F403-(J403-K403)))</f>
        <v/>
      </c>
    </row>
    <row r="404">
      <c r="A404" t="inlineStr">
        <is>
          <t>CLOUDLINE-DC</t>
        </is>
      </c>
      <c r="B404" t="inlineStr">
        <is>
          <t>2026-10-08</t>
        </is>
      </c>
      <c r="C404" t="n">
        <v>3</v>
      </c>
      <c r="D404" t="n">
        <v>18</v>
      </c>
      <c r="E404" t="n">
        <v>4</v>
      </c>
      <c r="F404" t="n">
        <v>14834</v>
      </c>
      <c r="G404" t="n">
        <v>0</v>
      </c>
      <c r="H404" t="n">
        <v>18434</v>
      </c>
      <c r="I404" t="n">
        <v>0</v>
      </c>
      <c r="J404" t="n">
        <v>18434</v>
      </c>
      <c r="K404" t="n">
        <v>0</v>
      </c>
      <c r="L404">
        <f>MIN(F404,J404)</f>
        <v/>
      </c>
      <c r="M404">
        <f>MIN(K404,MAX(0,F404-(J404-K404)))</f>
        <v/>
      </c>
    </row>
    <row r="405">
      <c r="A405" t="inlineStr">
        <is>
          <t>CLOUDLINE-DC</t>
        </is>
      </c>
      <c r="B405" t="inlineStr">
        <is>
          <t>2026-10-08</t>
        </is>
      </c>
      <c r="C405" t="n">
        <v>3</v>
      </c>
      <c r="D405" t="n">
        <v>19</v>
      </c>
      <c r="E405" t="n">
        <v>4</v>
      </c>
      <c r="F405" t="n">
        <v>15428</v>
      </c>
      <c r="G405" t="n">
        <v>0</v>
      </c>
      <c r="H405" t="n">
        <v>18356</v>
      </c>
      <c r="I405" t="n">
        <v>0</v>
      </c>
      <c r="J405" t="n">
        <v>18356</v>
      </c>
      <c r="K405" t="n">
        <v>0</v>
      </c>
      <c r="L405">
        <f>MIN(F405,J405)</f>
        <v/>
      </c>
      <c r="M405">
        <f>MIN(K405,MAX(0,F405-(J405-K405)))</f>
        <v/>
      </c>
    </row>
    <row r="406">
      <c r="A406" t="inlineStr">
        <is>
          <t>CLOUDLINE-DC</t>
        </is>
      </c>
      <c r="B406" t="inlineStr">
        <is>
          <t>2026-10-08</t>
        </is>
      </c>
      <c r="C406" t="n">
        <v>3</v>
      </c>
      <c r="D406" t="n">
        <v>20</v>
      </c>
      <c r="E406" t="n">
        <v>4</v>
      </c>
      <c r="F406" t="n">
        <v>14538</v>
      </c>
      <c r="G406" t="n">
        <v>0</v>
      </c>
      <c r="H406" t="n">
        <v>17938</v>
      </c>
      <c r="I406" t="n">
        <v>0</v>
      </c>
      <c r="J406" t="n">
        <v>17938</v>
      </c>
      <c r="K406" t="n">
        <v>0</v>
      </c>
      <c r="L406">
        <f>MIN(F406,J406)</f>
        <v/>
      </c>
      <c r="M406">
        <f>MIN(K406,MAX(0,F406-(J406-K406)))</f>
        <v/>
      </c>
    </row>
    <row r="407">
      <c r="A407" t="inlineStr">
        <is>
          <t>CLOUDLINE-DC</t>
        </is>
      </c>
      <c r="B407" t="inlineStr">
        <is>
          <t>2026-10-08</t>
        </is>
      </c>
      <c r="C407" t="n">
        <v>3</v>
      </c>
      <c r="D407" t="n">
        <v>21</v>
      </c>
      <c r="E407" t="n">
        <v>4</v>
      </c>
      <c r="F407" t="n">
        <v>15131</v>
      </c>
      <c r="G407" t="n">
        <v>0</v>
      </c>
      <c r="H407" t="n">
        <v>17241</v>
      </c>
      <c r="I407" t="n">
        <v>0</v>
      </c>
      <c r="J407" t="n">
        <v>17241</v>
      </c>
      <c r="K407" t="n">
        <v>0</v>
      </c>
      <c r="L407">
        <f>MIN(F407,J407)</f>
        <v/>
      </c>
      <c r="M407">
        <f>MIN(K407,MAX(0,F407-(J407-K407)))</f>
        <v/>
      </c>
    </row>
    <row r="408">
      <c r="A408" t="inlineStr">
        <is>
          <t>CLOUDLINE-DC</t>
        </is>
      </c>
      <c r="B408" t="inlineStr">
        <is>
          <t>2026-10-08</t>
        </is>
      </c>
      <c r="C408" t="n">
        <v>3</v>
      </c>
      <c r="D408" t="n">
        <v>22</v>
      </c>
      <c r="E408" t="n">
        <v>4</v>
      </c>
      <c r="F408" t="n">
        <v>14241</v>
      </c>
      <c r="G408" t="n">
        <v>0</v>
      </c>
      <c r="H408" t="n">
        <v>16724</v>
      </c>
      <c r="I408" t="n">
        <v>0</v>
      </c>
      <c r="J408" t="n">
        <v>16724</v>
      </c>
      <c r="K408" t="n">
        <v>0</v>
      </c>
      <c r="L408">
        <f>MIN(F408,J408)</f>
        <v/>
      </c>
      <c r="M408">
        <f>MIN(K408,MAX(0,F408-(J408-K408)))</f>
        <v/>
      </c>
    </row>
    <row r="409">
      <c r="A409" t="inlineStr">
        <is>
          <t>CLOUDLINE-DC</t>
        </is>
      </c>
      <c r="B409" t="inlineStr">
        <is>
          <t>2026-10-08</t>
        </is>
      </c>
      <c r="C409" t="n">
        <v>3</v>
      </c>
      <c r="D409" t="n">
        <v>23</v>
      </c>
      <c r="E409" t="n">
        <v>4</v>
      </c>
      <c r="F409" t="n">
        <v>14834</v>
      </c>
      <c r="G409" t="n">
        <v>0</v>
      </c>
      <c r="H409" t="n">
        <v>16395</v>
      </c>
      <c r="I409" t="n">
        <v>0</v>
      </c>
      <c r="J409" t="n">
        <v>16395</v>
      </c>
      <c r="K409" t="n">
        <v>0</v>
      </c>
      <c r="L409">
        <f>MIN(F409,J409)</f>
        <v/>
      </c>
      <c r="M409">
        <f>MIN(K409,MAX(0,F409-(J409-K409)))</f>
        <v/>
      </c>
    </row>
    <row r="410">
      <c r="A410" t="inlineStr">
        <is>
          <t>CLOUDLINE-DC</t>
        </is>
      </c>
      <c r="B410" t="inlineStr">
        <is>
          <t>2026-10-09</t>
        </is>
      </c>
      <c r="C410" t="n">
        <v>4</v>
      </c>
      <c r="D410" t="n">
        <v>0</v>
      </c>
      <c r="E410" t="n">
        <v>5</v>
      </c>
      <c r="F410" t="n">
        <v>15428</v>
      </c>
      <c r="G410" t="n">
        <v>0</v>
      </c>
      <c r="H410" t="n">
        <v>15709</v>
      </c>
      <c r="I410" t="n">
        <v>0</v>
      </c>
      <c r="J410" t="n">
        <v>15709</v>
      </c>
      <c r="K410" t="n">
        <v>0</v>
      </c>
      <c r="L410">
        <f>MIN(F410,J410)</f>
        <v/>
      </c>
      <c r="M410">
        <f>MIN(K410,MAX(0,F410-(J410-K410)))</f>
        <v/>
      </c>
    </row>
    <row r="411">
      <c r="A411" t="inlineStr">
        <is>
          <t>CLOUDLINE-DC</t>
        </is>
      </c>
      <c r="B411" t="inlineStr">
        <is>
          <t>2026-10-09</t>
        </is>
      </c>
      <c r="C411" t="n">
        <v>4</v>
      </c>
      <c r="D411" t="n">
        <v>1</v>
      </c>
      <c r="E411" t="n">
        <v>5</v>
      </c>
      <c r="F411" t="n">
        <v>14538</v>
      </c>
      <c r="G411" t="n">
        <v>0</v>
      </c>
      <c r="H411" t="n">
        <v>15311</v>
      </c>
      <c r="I411" t="n">
        <v>0</v>
      </c>
      <c r="J411" t="n">
        <v>15311</v>
      </c>
      <c r="K411" t="n">
        <v>0</v>
      </c>
      <c r="L411">
        <f>MIN(F411,J411)</f>
        <v/>
      </c>
      <c r="M411">
        <f>MIN(K411,MAX(0,F411-(J411-K411)))</f>
        <v/>
      </c>
    </row>
    <row r="412">
      <c r="A412" t="inlineStr">
        <is>
          <t>CLOUDLINE-DC</t>
        </is>
      </c>
      <c r="B412" t="inlineStr">
        <is>
          <t>2026-10-09</t>
        </is>
      </c>
      <c r="C412" t="n">
        <v>4</v>
      </c>
      <c r="D412" t="n">
        <v>2</v>
      </c>
      <c r="E412" t="n">
        <v>5</v>
      </c>
      <c r="F412" t="n">
        <v>15131</v>
      </c>
      <c r="G412" t="n">
        <v>0</v>
      </c>
      <c r="H412" t="n">
        <v>14726</v>
      </c>
      <c r="I412" t="n">
        <v>0</v>
      </c>
      <c r="J412" t="n">
        <v>14726</v>
      </c>
      <c r="K412" t="n">
        <v>0</v>
      </c>
      <c r="L412">
        <f>MIN(F412,J412)</f>
        <v/>
      </c>
      <c r="M412">
        <f>MIN(K412,MAX(0,F412-(J412-K412)))</f>
        <v/>
      </c>
    </row>
    <row r="413">
      <c r="A413" t="inlineStr">
        <is>
          <t>CLOUDLINE-DC</t>
        </is>
      </c>
      <c r="B413" t="inlineStr">
        <is>
          <t>2026-10-09</t>
        </is>
      </c>
      <c r="C413" t="n">
        <v>4</v>
      </c>
      <c r="D413" t="n">
        <v>3</v>
      </c>
      <c r="E413" t="n">
        <v>5</v>
      </c>
      <c r="F413" t="n">
        <v>14241</v>
      </c>
      <c r="G413" t="n">
        <v>0</v>
      </c>
      <c r="H413" t="n">
        <v>13958</v>
      </c>
      <c r="I413" t="n">
        <v>0</v>
      </c>
      <c r="J413" t="n">
        <v>13958</v>
      </c>
      <c r="K413" t="n">
        <v>0</v>
      </c>
      <c r="L413">
        <f>MIN(F413,J413)</f>
        <v/>
      </c>
      <c r="M413">
        <f>MIN(K413,MAX(0,F413-(J413-K413)))</f>
        <v/>
      </c>
    </row>
    <row r="414">
      <c r="A414" t="inlineStr">
        <is>
          <t>CLOUDLINE-DC</t>
        </is>
      </c>
      <c r="B414" t="inlineStr">
        <is>
          <t>2026-10-09</t>
        </is>
      </c>
      <c r="C414" t="n">
        <v>4</v>
      </c>
      <c r="D414" t="n">
        <v>4</v>
      </c>
      <c r="E414" t="n">
        <v>5</v>
      </c>
      <c r="F414" t="n">
        <v>14834</v>
      </c>
      <c r="G414" t="n">
        <v>0</v>
      </c>
      <c r="H414" t="n">
        <v>13405</v>
      </c>
      <c r="I414" t="n">
        <v>0</v>
      </c>
      <c r="J414" t="n">
        <v>13405</v>
      </c>
      <c r="K414" t="n">
        <v>0</v>
      </c>
      <c r="L414">
        <f>MIN(F414,J414)</f>
        <v/>
      </c>
      <c r="M414">
        <f>MIN(K414,MAX(0,F414-(J414-K414)))</f>
        <v/>
      </c>
    </row>
    <row r="415">
      <c r="A415" t="inlineStr">
        <is>
          <t>CLOUDLINE-DC</t>
        </is>
      </c>
      <c r="B415" t="inlineStr">
        <is>
          <t>2026-10-09</t>
        </is>
      </c>
      <c r="C415" t="n">
        <v>4</v>
      </c>
      <c r="D415" t="n">
        <v>5</v>
      </c>
      <c r="E415" t="n">
        <v>5</v>
      </c>
      <c r="F415" t="n">
        <v>15428</v>
      </c>
      <c r="G415" t="n">
        <v>0</v>
      </c>
      <c r="H415" t="n">
        <v>12758</v>
      </c>
      <c r="I415" t="n">
        <v>0</v>
      </c>
      <c r="J415" t="n">
        <v>12758</v>
      </c>
      <c r="K415" t="n">
        <v>0</v>
      </c>
      <c r="L415">
        <f>MIN(F415,J415)</f>
        <v/>
      </c>
      <c r="M415">
        <f>MIN(K415,MAX(0,F415-(J415-K415)))</f>
        <v/>
      </c>
    </row>
    <row r="416">
      <c r="A416" t="inlineStr">
        <is>
          <t>CLOUDLINE-DC</t>
        </is>
      </c>
      <c r="B416" t="inlineStr">
        <is>
          <t>2026-10-09</t>
        </is>
      </c>
      <c r="C416" t="n">
        <v>4</v>
      </c>
      <c r="D416" t="n">
        <v>6</v>
      </c>
      <c r="E416" t="n">
        <v>5</v>
      </c>
      <c r="F416" t="n">
        <v>14538</v>
      </c>
      <c r="G416" t="n">
        <v>0</v>
      </c>
      <c r="H416" t="n">
        <v>12476</v>
      </c>
      <c r="I416" t="n">
        <v>0</v>
      </c>
      <c r="J416" t="n">
        <v>12476</v>
      </c>
      <c r="K416" t="n">
        <v>0</v>
      </c>
      <c r="L416">
        <f>MIN(F416,J416)</f>
        <v/>
      </c>
      <c r="M416">
        <f>MIN(K416,MAX(0,F416-(J416-K416)))</f>
        <v/>
      </c>
    </row>
    <row r="417">
      <c r="A417" t="inlineStr">
        <is>
          <t>CLOUDLINE-DC</t>
        </is>
      </c>
      <c r="B417" t="inlineStr">
        <is>
          <t>2026-10-09</t>
        </is>
      </c>
      <c r="C417" t="n">
        <v>4</v>
      </c>
      <c r="D417" t="n">
        <v>7</v>
      </c>
      <c r="E417" t="n">
        <v>5</v>
      </c>
      <c r="F417" t="n">
        <v>15131</v>
      </c>
      <c r="G417" t="n">
        <v>0</v>
      </c>
      <c r="H417" t="n">
        <v>11561</v>
      </c>
      <c r="I417" t="n">
        <v>0</v>
      </c>
      <c r="J417" t="n">
        <v>11561</v>
      </c>
      <c r="K417" t="n">
        <v>0</v>
      </c>
      <c r="L417">
        <f>MIN(F417,J417)</f>
        <v/>
      </c>
      <c r="M417">
        <f>MIN(K417,MAX(0,F417-(J417-K417)))</f>
        <v/>
      </c>
    </row>
    <row r="418">
      <c r="A418" t="inlineStr">
        <is>
          <t>CLOUDLINE-DC</t>
        </is>
      </c>
      <c r="B418" t="inlineStr">
        <is>
          <t>2026-10-09</t>
        </is>
      </c>
      <c r="C418" t="n">
        <v>4</v>
      </c>
      <c r="D418" t="n">
        <v>8</v>
      </c>
      <c r="E418" t="n">
        <v>5</v>
      </c>
      <c r="F418" t="n">
        <v>14241</v>
      </c>
      <c r="G418" t="n">
        <v>0</v>
      </c>
      <c r="H418" t="n">
        <v>11088</v>
      </c>
      <c r="I418" t="n">
        <v>0</v>
      </c>
      <c r="J418" t="n">
        <v>11088</v>
      </c>
      <c r="K418" t="n">
        <v>0</v>
      </c>
      <c r="L418">
        <f>MIN(F418,J418)</f>
        <v/>
      </c>
      <c r="M418">
        <f>MIN(K418,MAX(0,F418-(J418-K418)))</f>
        <v/>
      </c>
    </row>
    <row r="419">
      <c r="A419" t="inlineStr">
        <is>
          <t>CLOUDLINE-DC</t>
        </is>
      </c>
      <c r="B419" t="inlineStr">
        <is>
          <t>2026-10-09</t>
        </is>
      </c>
      <c r="C419" t="n">
        <v>4</v>
      </c>
      <c r="D419" t="n">
        <v>9</v>
      </c>
      <c r="E419" t="n">
        <v>5</v>
      </c>
      <c r="F419" t="n">
        <v>14834</v>
      </c>
      <c r="G419" t="n">
        <v>0</v>
      </c>
      <c r="H419" t="n">
        <v>11874</v>
      </c>
      <c r="I419" t="n">
        <v>0</v>
      </c>
      <c r="J419" t="n">
        <v>11874</v>
      </c>
      <c r="K419" t="n">
        <v>0</v>
      </c>
      <c r="L419">
        <f>MIN(F419,J419)</f>
        <v/>
      </c>
      <c r="M419">
        <f>MIN(K419,MAX(0,F419-(J419-K419)))</f>
        <v/>
      </c>
    </row>
    <row r="420">
      <c r="A420" t="inlineStr">
        <is>
          <t>CLOUDLINE-DC</t>
        </is>
      </c>
      <c r="B420" t="inlineStr">
        <is>
          <t>2026-10-09</t>
        </is>
      </c>
      <c r="C420" t="n">
        <v>4</v>
      </c>
      <c r="D420" t="n">
        <v>10</v>
      </c>
      <c r="E420" t="n">
        <v>5</v>
      </c>
      <c r="F420" t="n">
        <v>15428</v>
      </c>
      <c r="G420" t="n">
        <v>0</v>
      </c>
      <c r="H420" t="n">
        <v>13518</v>
      </c>
      <c r="I420" t="n">
        <v>0</v>
      </c>
      <c r="J420" t="n">
        <v>13518</v>
      </c>
      <c r="K420" t="n">
        <v>0</v>
      </c>
      <c r="L420">
        <f>MIN(F420,J420)</f>
        <v/>
      </c>
      <c r="M420">
        <f>MIN(K420,MAX(0,F420-(J420-K420)))</f>
        <v/>
      </c>
    </row>
    <row r="421">
      <c r="A421" t="inlineStr">
        <is>
          <t>CLOUDLINE-DC</t>
        </is>
      </c>
      <c r="B421" t="inlineStr">
        <is>
          <t>2026-10-09</t>
        </is>
      </c>
      <c r="C421" t="n">
        <v>4</v>
      </c>
      <c r="D421" t="n">
        <v>11</v>
      </c>
      <c r="E421" t="n">
        <v>5</v>
      </c>
      <c r="F421" t="n">
        <v>14538</v>
      </c>
      <c r="G421" t="n">
        <v>0</v>
      </c>
      <c r="H421" t="n">
        <v>15165</v>
      </c>
      <c r="I421" t="n">
        <v>0</v>
      </c>
      <c r="J421" t="n">
        <v>15165</v>
      </c>
      <c r="K421" t="n">
        <v>0</v>
      </c>
      <c r="L421">
        <f>MIN(F421,J421)</f>
        <v/>
      </c>
      <c r="M421">
        <f>MIN(K421,MAX(0,F421-(J421-K421)))</f>
        <v/>
      </c>
    </row>
    <row r="422">
      <c r="A422" t="inlineStr">
        <is>
          <t>CLOUDLINE-DC</t>
        </is>
      </c>
      <c r="B422" t="inlineStr">
        <is>
          <t>2026-10-09</t>
        </is>
      </c>
      <c r="C422" t="n">
        <v>4</v>
      </c>
      <c r="D422" t="n">
        <v>12</v>
      </c>
      <c r="E422" t="n">
        <v>5</v>
      </c>
      <c r="F422" t="n">
        <v>15131</v>
      </c>
      <c r="G422" t="n">
        <v>0</v>
      </c>
      <c r="H422" t="n">
        <v>16547</v>
      </c>
      <c r="I422" t="n">
        <v>0</v>
      </c>
      <c r="J422" t="n">
        <v>16547</v>
      </c>
      <c r="K422" t="n">
        <v>0</v>
      </c>
      <c r="L422">
        <f>MIN(F422,J422)</f>
        <v/>
      </c>
      <c r="M422">
        <f>MIN(K422,MAX(0,F422-(J422-K422)))</f>
        <v/>
      </c>
    </row>
    <row r="423">
      <c r="A423" t="inlineStr">
        <is>
          <t>CLOUDLINE-DC</t>
        </is>
      </c>
      <c r="B423" t="inlineStr">
        <is>
          <t>2026-10-09</t>
        </is>
      </c>
      <c r="C423" t="n">
        <v>4</v>
      </c>
      <c r="D423" t="n">
        <v>13</v>
      </c>
      <c r="E423" t="n">
        <v>5</v>
      </c>
      <c r="F423" t="n">
        <v>14241</v>
      </c>
      <c r="G423" t="n">
        <v>0</v>
      </c>
      <c r="H423" t="n">
        <v>17175</v>
      </c>
      <c r="I423" t="n">
        <v>0</v>
      </c>
      <c r="J423" t="n">
        <v>17175</v>
      </c>
      <c r="K423" t="n">
        <v>0</v>
      </c>
      <c r="L423">
        <f>MIN(F423,J423)</f>
        <v/>
      </c>
      <c r="M423">
        <f>MIN(K423,MAX(0,F423-(J423-K423)))</f>
        <v/>
      </c>
    </row>
    <row r="424">
      <c r="A424" t="inlineStr">
        <is>
          <t>CLOUDLINE-DC</t>
        </is>
      </c>
      <c r="B424" t="inlineStr">
        <is>
          <t>2026-10-09</t>
        </is>
      </c>
      <c r="C424" t="n">
        <v>4</v>
      </c>
      <c r="D424" t="n">
        <v>14</v>
      </c>
      <c r="E424" t="n">
        <v>5</v>
      </c>
      <c r="F424" t="n">
        <v>14834</v>
      </c>
      <c r="G424" t="n">
        <v>0</v>
      </c>
      <c r="H424" t="n">
        <v>17996</v>
      </c>
      <c r="I424" t="n">
        <v>0</v>
      </c>
      <c r="J424" t="n">
        <v>17996</v>
      </c>
      <c r="K424" t="n">
        <v>0</v>
      </c>
      <c r="L424">
        <f>MIN(F424,J424)</f>
        <v/>
      </c>
      <c r="M424">
        <f>MIN(K424,MAX(0,F424-(J424-K424)))</f>
        <v/>
      </c>
    </row>
    <row r="425">
      <c r="A425" t="inlineStr">
        <is>
          <t>CLOUDLINE-DC</t>
        </is>
      </c>
      <c r="B425" t="inlineStr">
        <is>
          <t>2026-10-09</t>
        </is>
      </c>
      <c r="C425" t="n">
        <v>4</v>
      </c>
      <c r="D425" t="n">
        <v>15</v>
      </c>
      <c r="E425" t="n">
        <v>5</v>
      </c>
      <c r="F425" t="n">
        <v>15428</v>
      </c>
      <c r="G425" t="n">
        <v>0</v>
      </c>
      <c r="H425" t="n">
        <v>18326</v>
      </c>
      <c r="I425" t="n">
        <v>0</v>
      </c>
      <c r="J425" t="n">
        <v>18326</v>
      </c>
      <c r="K425" t="n">
        <v>0</v>
      </c>
      <c r="L425">
        <f>MIN(F425,J425)</f>
        <v/>
      </c>
      <c r="M425">
        <f>MIN(K425,MAX(0,F425-(J425-K425)))</f>
        <v/>
      </c>
    </row>
    <row r="426">
      <c r="A426" t="inlineStr">
        <is>
          <t>CLOUDLINE-DC</t>
        </is>
      </c>
      <c r="B426" t="inlineStr">
        <is>
          <t>2026-10-09</t>
        </is>
      </c>
      <c r="C426" t="n">
        <v>4</v>
      </c>
      <c r="D426" t="n">
        <v>16</v>
      </c>
      <c r="E426" t="n">
        <v>5</v>
      </c>
      <c r="F426" t="n">
        <v>14538</v>
      </c>
      <c r="G426" t="n">
        <v>0</v>
      </c>
      <c r="H426" t="n">
        <v>18176</v>
      </c>
      <c r="I426" t="n">
        <v>0</v>
      </c>
      <c r="J426" t="n">
        <v>18176</v>
      </c>
      <c r="K426" t="n">
        <v>0</v>
      </c>
      <c r="L426">
        <f>MIN(F426,J426)</f>
        <v/>
      </c>
      <c r="M426">
        <f>MIN(K426,MAX(0,F426-(J426-K426)))</f>
        <v/>
      </c>
    </row>
    <row r="427">
      <c r="A427" t="inlineStr">
        <is>
          <t>CLOUDLINE-DC</t>
        </is>
      </c>
      <c r="B427" t="inlineStr">
        <is>
          <t>2026-10-09</t>
        </is>
      </c>
      <c r="C427" t="n">
        <v>4</v>
      </c>
      <c r="D427" t="n">
        <v>17</v>
      </c>
      <c r="E427" t="n">
        <v>5</v>
      </c>
      <c r="F427" t="n">
        <v>15131</v>
      </c>
      <c r="G427" t="n">
        <v>0</v>
      </c>
      <c r="H427" t="n">
        <v>17612</v>
      </c>
      <c r="I427" t="n">
        <v>0</v>
      </c>
      <c r="J427" t="n">
        <v>17612</v>
      </c>
      <c r="K427" t="n">
        <v>0</v>
      </c>
      <c r="L427">
        <f>MIN(F427,J427)</f>
        <v/>
      </c>
      <c r="M427">
        <f>MIN(K427,MAX(0,F427-(J427-K427)))</f>
        <v/>
      </c>
    </row>
    <row r="428">
      <c r="A428" t="inlineStr">
        <is>
          <t>CLOUDLINE-DC</t>
        </is>
      </c>
      <c r="B428" t="inlineStr">
        <is>
          <t>2026-10-09</t>
        </is>
      </c>
      <c r="C428" t="n">
        <v>4</v>
      </c>
      <c r="D428" t="n">
        <v>18</v>
      </c>
      <c r="E428" t="n">
        <v>5</v>
      </c>
      <c r="F428" t="n">
        <v>14241</v>
      </c>
      <c r="G428" t="n">
        <v>0</v>
      </c>
      <c r="H428" t="n">
        <v>18480</v>
      </c>
      <c r="I428" t="n">
        <v>0</v>
      </c>
      <c r="J428" t="n">
        <v>18480</v>
      </c>
      <c r="K428" t="n">
        <v>0</v>
      </c>
      <c r="L428">
        <f>MIN(F428,J428)</f>
        <v/>
      </c>
      <c r="M428">
        <f>MIN(K428,MAX(0,F428-(J428-K428)))</f>
        <v/>
      </c>
    </row>
    <row r="429">
      <c r="A429" t="inlineStr">
        <is>
          <t>CLOUDLINE-DC</t>
        </is>
      </c>
      <c r="B429" t="inlineStr">
        <is>
          <t>2026-10-09</t>
        </is>
      </c>
      <c r="C429" t="n">
        <v>4</v>
      </c>
      <c r="D429" t="n">
        <v>19</v>
      </c>
      <c r="E429" t="n">
        <v>5</v>
      </c>
      <c r="F429" t="n">
        <v>14834</v>
      </c>
      <c r="G429" t="n">
        <v>0</v>
      </c>
      <c r="H429" t="n">
        <v>18522</v>
      </c>
      <c r="I429" t="n">
        <v>0</v>
      </c>
      <c r="J429" t="n">
        <v>18522</v>
      </c>
      <c r="K429" t="n">
        <v>0</v>
      </c>
      <c r="L429">
        <f>MIN(F429,J429)</f>
        <v/>
      </c>
      <c r="M429">
        <f>MIN(K429,MAX(0,F429-(J429-K429)))</f>
        <v/>
      </c>
    </row>
    <row r="430">
      <c r="A430" t="inlineStr">
        <is>
          <t>CLOUDLINE-DC</t>
        </is>
      </c>
      <c r="B430" t="inlineStr">
        <is>
          <t>2026-10-09</t>
        </is>
      </c>
      <c r="C430" t="n">
        <v>4</v>
      </c>
      <c r="D430" t="n">
        <v>20</v>
      </c>
      <c r="E430" t="n">
        <v>5</v>
      </c>
      <c r="F430" t="n">
        <v>15428</v>
      </c>
      <c r="G430" t="n">
        <v>0</v>
      </c>
      <c r="H430" t="n">
        <v>18000</v>
      </c>
      <c r="I430" t="n">
        <v>0</v>
      </c>
      <c r="J430" t="n">
        <v>18000</v>
      </c>
      <c r="K430" t="n">
        <v>0</v>
      </c>
      <c r="L430">
        <f>MIN(F430,J430)</f>
        <v/>
      </c>
      <c r="M430">
        <f>MIN(K430,MAX(0,F430-(J430-K430)))</f>
        <v/>
      </c>
    </row>
    <row r="431">
      <c r="A431" t="inlineStr">
        <is>
          <t>CLOUDLINE-DC</t>
        </is>
      </c>
      <c r="B431" t="inlineStr">
        <is>
          <t>2026-10-09</t>
        </is>
      </c>
      <c r="C431" t="n">
        <v>4</v>
      </c>
      <c r="D431" t="n">
        <v>21</v>
      </c>
      <c r="E431" t="n">
        <v>5</v>
      </c>
      <c r="F431" t="n">
        <v>14538</v>
      </c>
      <c r="G431" t="n">
        <v>0</v>
      </c>
      <c r="H431" t="n">
        <v>17402</v>
      </c>
      <c r="I431" t="n">
        <v>0</v>
      </c>
      <c r="J431" t="n">
        <v>17402</v>
      </c>
      <c r="K431" t="n">
        <v>0</v>
      </c>
      <c r="L431">
        <f>MIN(F431,J431)</f>
        <v/>
      </c>
      <c r="M431">
        <f>MIN(K431,MAX(0,F431-(J431-K431)))</f>
        <v/>
      </c>
    </row>
    <row r="432">
      <c r="A432" t="inlineStr">
        <is>
          <t>CLOUDLINE-DC</t>
        </is>
      </c>
      <c r="B432" t="inlineStr">
        <is>
          <t>2026-10-09</t>
        </is>
      </c>
      <c r="C432" t="n">
        <v>4</v>
      </c>
      <c r="D432" t="n">
        <v>22</v>
      </c>
      <c r="E432" t="n">
        <v>5</v>
      </c>
      <c r="F432" t="n">
        <v>15131</v>
      </c>
      <c r="G432" t="n">
        <v>0</v>
      </c>
      <c r="H432" t="n">
        <v>16518</v>
      </c>
      <c r="I432" t="n">
        <v>0</v>
      </c>
      <c r="J432" t="n">
        <v>16518</v>
      </c>
      <c r="K432" t="n">
        <v>0</v>
      </c>
      <c r="L432">
        <f>MIN(F432,J432)</f>
        <v/>
      </c>
      <c r="M432">
        <f>MIN(K432,MAX(0,F432-(J432-K432)))</f>
        <v/>
      </c>
    </row>
    <row r="433">
      <c r="A433" t="inlineStr">
        <is>
          <t>CLOUDLINE-DC</t>
        </is>
      </c>
      <c r="B433" t="inlineStr">
        <is>
          <t>2026-10-09</t>
        </is>
      </c>
      <c r="C433" t="n">
        <v>4</v>
      </c>
      <c r="D433" t="n">
        <v>23</v>
      </c>
      <c r="E433" t="n">
        <v>5</v>
      </c>
      <c r="F433" t="n">
        <v>14241</v>
      </c>
      <c r="G433" t="n">
        <v>0</v>
      </c>
      <c r="H433" t="n">
        <v>15165</v>
      </c>
      <c r="I433" t="n">
        <v>0</v>
      </c>
      <c r="J433" t="n">
        <v>15165</v>
      </c>
      <c r="K433" t="n">
        <v>0</v>
      </c>
      <c r="L433">
        <f>MIN(F433,J433)</f>
        <v/>
      </c>
      <c r="M433">
        <f>MIN(K433,MAX(0,F433-(J433-K433)))</f>
        <v/>
      </c>
    </row>
    <row r="434">
      <c r="A434" t="inlineStr">
        <is>
          <t>CLOUDLINE-DC</t>
        </is>
      </c>
      <c r="B434" t="inlineStr">
        <is>
          <t>2026-10-10</t>
        </is>
      </c>
      <c r="C434" t="n">
        <v>5</v>
      </c>
      <c r="D434" t="n">
        <v>0</v>
      </c>
      <c r="E434" t="n">
        <v>6</v>
      </c>
      <c r="F434" t="n">
        <v>14834</v>
      </c>
      <c r="G434" t="n">
        <v>0</v>
      </c>
      <c r="H434" t="n">
        <v>14377</v>
      </c>
      <c r="I434" t="n">
        <v>0</v>
      </c>
      <c r="J434" t="n">
        <v>14377</v>
      </c>
      <c r="K434" t="n">
        <v>0</v>
      </c>
      <c r="L434">
        <f>MIN(F434,J434)</f>
        <v/>
      </c>
      <c r="M434">
        <f>MIN(K434,MAX(0,F434-(J434-K434)))</f>
        <v/>
      </c>
    </row>
    <row r="435">
      <c r="A435" t="inlineStr">
        <is>
          <t>CLOUDLINE-DC</t>
        </is>
      </c>
      <c r="B435" t="inlineStr">
        <is>
          <t>2026-10-10</t>
        </is>
      </c>
      <c r="C435" t="n">
        <v>5</v>
      </c>
      <c r="D435" t="n">
        <v>1</v>
      </c>
      <c r="E435" t="n">
        <v>6</v>
      </c>
      <c r="F435" t="n">
        <v>15428</v>
      </c>
      <c r="G435" t="n">
        <v>0</v>
      </c>
      <c r="H435" t="n">
        <v>14191</v>
      </c>
      <c r="I435" t="n">
        <v>0</v>
      </c>
      <c r="J435" t="n">
        <v>14191</v>
      </c>
      <c r="K435" t="n">
        <v>0</v>
      </c>
      <c r="L435">
        <f>MIN(F435,J435)</f>
        <v/>
      </c>
      <c r="M435">
        <f>MIN(K435,MAX(0,F435-(J435-K435)))</f>
        <v/>
      </c>
    </row>
    <row r="436">
      <c r="A436" t="inlineStr">
        <is>
          <t>CLOUDLINE-DC</t>
        </is>
      </c>
      <c r="B436" t="inlineStr">
        <is>
          <t>2026-10-10</t>
        </is>
      </c>
      <c r="C436" t="n">
        <v>5</v>
      </c>
      <c r="D436" t="n">
        <v>2</v>
      </c>
      <c r="E436" t="n">
        <v>6</v>
      </c>
      <c r="F436" t="n">
        <v>14538</v>
      </c>
      <c r="G436" t="n">
        <v>0</v>
      </c>
      <c r="H436" t="n">
        <v>14204</v>
      </c>
      <c r="I436" t="n">
        <v>0</v>
      </c>
      <c r="J436" t="n">
        <v>14204</v>
      </c>
      <c r="K436" t="n">
        <v>0</v>
      </c>
      <c r="L436">
        <f>MIN(F436,J436)</f>
        <v/>
      </c>
      <c r="M436">
        <f>MIN(K436,MAX(0,F436-(J436-K436)))</f>
        <v/>
      </c>
    </row>
    <row r="437">
      <c r="A437" t="inlineStr">
        <is>
          <t>CLOUDLINE-DC</t>
        </is>
      </c>
      <c r="B437" t="inlineStr">
        <is>
          <t>2026-10-10</t>
        </is>
      </c>
      <c r="C437" t="n">
        <v>5</v>
      </c>
      <c r="D437" t="n">
        <v>3</v>
      </c>
      <c r="E437" t="n">
        <v>6</v>
      </c>
      <c r="F437" t="n">
        <v>15131</v>
      </c>
      <c r="G437" t="n">
        <v>0</v>
      </c>
      <c r="H437" t="n">
        <v>14203</v>
      </c>
      <c r="I437" t="n">
        <v>0</v>
      </c>
      <c r="J437" t="n">
        <v>14203</v>
      </c>
      <c r="K437" t="n">
        <v>0</v>
      </c>
      <c r="L437">
        <f>MIN(F437,J437)</f>
        <v/>
      </c>
      <c r="M437">
        <f>MIN(K437,MAX(0,F437-(J437-K437)))</f>
        <v/>
      </c>
    </row>
    <row r="438">
      <c r="A438" t="inlineStr">
        <is>
          <t>CLOUDLINE-DC</t>
        </is>
      </c>
      <c r="B438" t="inlineStr">
        <is>
          <t>2026-10-10</t>
        </is>
      </c>
      <c r="C438" t="n">
        <v>5</v>
      </c>
      <c r="D438" t="n">
        <v>4</v>
      </c>
      <c r="E438" t="n">
        <v>6</v>
      </c>
      <c r="F438" t="n">
        <v>14241</v>
      </c>
      <c r="G438" t="n">
        <v>0</v>
      </c>
      <c r="H438" t="n">
        <v>13734</v>
      </c>
      <c r="I438" t="n">
        <v>0</v>
      </c>
      <c r="J438" t="n">
        <v>13734</v>
      </c>
      <c r="K438" t="n">
        <v>0</v>
      </c>
      <c r="L438">
        <f>MIN(F438,J438)</f>
        <v/>
      </c>
      <c r="M438">
        <f>MIN(K438,MAX(0,F438-(J438-K438)))</f>
        <v/>
      </c>
    </row>
    <row r="439">
      <c r="A439" t="inlineStr">
        <is>
          <t>CLOUDLINE-DC</t>
        </is>
      </c>
      <c r="B439" t="inlineStr">
        <is>
          <t>2026-10-10</t>
        </is>
      </c>
      <c r="C439" t="n">
        <v>5</v>
      </c>
      <c r="D439" t="n">
        <v>5</v>
      </c>
      <c r="E439" t="n">
        <v>6</v>
      </c>
      <c r="F439" t="n">
        <v>14834</v>
      </c>
      <c r="G439" t="n">
        <v>0</v>
      </c>
      <c r="H439" t="n">
        <v>12861</v>
      </c>
      <c r="I439" t="n">
        <v>0</v>
      </c>
      <c r="J439" t="n">
        <v>12861</v>
      </c>
      <c r="K439" t="n">
        <v>0</v>
      </c>
      <c r="L439">
        <f>MIN(F439,J439)</f>
        <v/>
      </c>
      <c r="M439">
        <f>MIN(K439,MAX(0,F439-(J439-K439)))</f>
        <v/>
      </c>
    </row>
    <row r="440">
      <c r="A440" t="inlineStr">
        <is>
          <t>CLOUDLINE-DC</t>
        </is>
      </c>
      <c r="B440" t="inlineStr">
        <is>
          <t>2026-10-10</t>
        </is>
      </c>
      <c r="C440" t="n">
        <v>5</v>
      </c>
      <c r="D440" t="n">
        <v>6</v>
      </c>
      <c r="E440" t="n">
        <v>6</v>
      </c>
      <c r="F440" t="n">
        <v>15428</v>
      </c>
      <c r="G440" t="n">
        <v>0</v>
      </c>
      <c r="H440" t="n">
        <v>13499</v>
      </c>
      <c r="I440" t="n">
        <v>0</v>
      </c>
      <c r="J440" t="n">
        <v>13499</v>
      </c>
      <c r="K440" t="n">
        <v>0</v>
      </c>
      <c r="L440">
        <f>MIN(F440,J440)</f>
        <v/>
      </c>
      <c r="M440">
        <f>MIN(K440,MAX(0,F440-(J440-K440)))</f>
        <v/>
      </c>
    </row>
    <row r="441">
      <c r="A441" t="inlineStr">
        <is>
          <t>CLOUDLINE-DC</t>
        </is>
      </c>
      <c r="B441" t="inlineStr">
        <is>
          <t>2026-10-10</t>
        </is>
      </c>
      <c r="C441" t="n">
        <v>5</v>
      </c>
      <c r="D441" t="n">
        <v>7</v>
      </c>
      <c r="E441" t="n">
        <v>6</v>
      </c>
      <c r="F441" t="n">
        <v>14538</v>
      </c>
      <c r="G441" t="n">
        <v>0</v>
      </c>
      <c r="H441" t="n">
        <v>13814</v>
      </c>
      <c r="I441" t="n">
        <v>0</v>
      </c>
      <c r="J441" t="n">
        <v>13814</v>
      </c>
      <c r="K441" t="n">
        <v>0</v>
      </c>
      <c r="L441">
        <f>MIN(F441,J441)</f>
        <v/>
      </c>
      <c r="M441">
        <f>MIN(K441,MAX(0,F441-(J441-K441)))</f>
        <v/>
      </c>
    </row>
    <row r="442">
      <c r="A442" t="inlineStr">
        <is>
          <t>CLOUDLINE-DC</t>
        </is>
      </c>
      <c r="B442" t="inlineStr">
        <is>
          <t>2026-10-10</t>
        </is>
      </c>
      <c r="C442" t="n">
        <v>5</v>
      </c>
      <c r="D442" t="n">
        <v>8</v>
      </c>
      <c r="E442" t="n">
        <v>6</v>
      </c>
      <c r="F442" t="n">
        <v>15131</v>
      </c>
      <c r="G442" t="n">
        <v>0</v>
      </c>
      <c r="H442" t="n">
        <v>13881</v>
      </c>
      <c r="I442" t="n">
        <v>0</v>
      </c>
      <c r="J442" t="n">
        <v>13881</v>
      </c>
      <c r="K442" t="n">
        <v>0</v>
      </c>
      <c r="L442">
        <f>MIN(F442,J442)</f>
        <v/>
      </c>
      <c r="M442">
        <f>MIN(K442,MAX(0,F442-(J442-K442)))</f>
        <v/>
      </c>
    </row>
    <row r="443">
      <c r="A443" t="inlineStr">
        <is>
          <t>CLOUDLINE-DC</t>
        </is>
      </c>
      <c r="B443" t="inlineStr">
        <is>
          <t>2026-10-10</t>
        </is>
      </c>
      <c r="C443" t="n">
        <v>5</v>
      </c>
      <c r="D443" t="n">
        <v>9</v>
      </c>
      <c r="E443" t="n">
        <v>6</v>
      </c>
      <c r="F443" t="n">
        <v>14241</v>
      </c>
      <c r="G443" t="n">
        <v>0</v>
      </c>
      <c r="H443" t="n">
        <v>14699</v>
      </c>
      <c r="I443" t="n">
        <v>0</v>
      </c>
      <c r="J443" t="n">
        <v>14699</v>
      </c>
      <c r="K443" t="n">
        <v>0</v>
      </c>
      <c r="L443">
        <f>MIN(F443,J443)</f>
        <v/>
      </c>
      <c r="M443">
        <f>MIN(K443,MAX(0,F443-(J443-K443)))</f>
        <v/>
      </c>
    </row>
    <row r="444">
      <c r="A444" t="inlineStr">
        <is>
          <t>CLOUDLINE-DC</t>
        </is>
      </c>
      <c r="B444" t="inlineStr">
        <is>
          <t>2026-10-10</t>
        </is>
      </c>
      <c r="C444" t="n">
        <v>5</v>
      </c>
      <c r="D444" t="n">
        <v>10</v>
      </c>
      <c r="E444" t="n">
        <v>6</v>
      </c>
      <c r="F444" t="n">
        <v>14834</v>
      </c>
      <c r="G444" t="n">
        <v>0</v>
      </c>
      <c r="H444" t="n">
        <v>15698</v>
      </c>
      <c r="I444" t="n">
        <v>0</v>
      </c>
      <c r="J444" t="n">
        <v>15698</v>
      </c>
      <c r="K444" t="n">
        <v>0</v>
      </c>
      <c r="L444">
        <f>MIN(F444,J444)</f>
        <v/>
      </c>
      <c r="M444">
        <f>MIN(K444,MAX(0,F444-(J444-K444)))</f>
        <v/>
      </c>
    </row>
    <row r="445">
      <c r="A445" t="inlineStr">
        <is>
          <t>CLOUDLINE-DC</t>
        </is>
      </c>
      <c r="B445" t="inlineStr">
        <is>
          <t>2026-10-10</t>
        </is>
      </c>
      <c r="C445" t="n">
        <v>5</v>
      </c>
      <c r="D445" t="n">
        <v>11</v>
      </c>
      <c r="E445" t="n">
        <v>6</v>
      </c>
      <c r="F445" t="n">
        <v>15428</v>
      </c>
      <c r="G445" t="n">
        <v>0</v>
      </c>
      <c r="H445" t="n">
        <v>17160</v>
      </c>
      <c r="I445" t="n">
        <v>0</v>
      </c>
      <c r="J445" t="n">
        <v>17160</v>
      </c>
      <c r="K445" t="n">
        <v>0</v>
      </c>
      <c r="L445">
        <f>MIN(F445,J445)</f>
        <v/>
      </c>
      <c r="M445">
        <f>MIN(K445,MAX(0,F445-(J445-K445)))</f>
        <v/>
      </c>
    </row>
    <row r="446">
      <c r="A446" t="inlineStr">
        <is>
          <t>CLOUDLINE-DC</t>
        </is>
      </c>
      <c r="B446" t="inlineStr">
        <is>
          <t>2026-10-10</t>
        </is>
      </c>
      <c r="C446" t="n">
        <v>5</v>
      </c>
      <c r="D446" t="n">
        <v>12</v>
      </c>
      <c r="E446" t="n">
        <v>6</v>
      </c>
      <c r="F446" t="n">
        <v>14538</v>
      </c>
      <c r="G446" t="n">
        <v>0</v>
      </c>
      <c r="H446" t="n">
        <v>18261</v>
      </c>
      <c r="I446" t="n">
        <v>0</v>
      </c>
      <c r="J446" t="n">
        <v>18261</v>
      </c>
      <c r="K446" t="n">
        <v>0</v>
      </c>
      <c r="L446">
        <f>MIN(F446,J446)</f>
        <v/>
      </c>
      <c r="M446">
        <f>MIN(K446,MAX(0,F446-(J446-K446)))</f>
        <v/>
      </c>
    </row>
    <row r="447">
      <c r="A447" t="inlineStr">
        <is>
          <t>CLOUDLINE-DC</t>
        </is>
      </c>
      <c r="B447" t="inlineStr">
        <is>
          <t>2026-10-10</t>
        </is>
      </c>
      <c r="C447" t="n">
        <v>5</v>
      </c>
      <c r="D447" t="n">
        <v>13</v>
      </c>
      <c r="E447" t="n">
        <v>6</v>
      </c>
      <c r="F447" t="n">
        <v>15131</v>
      </c>
      <c r="G447" t="n">
        <v>0</v>
      </c>
      <c r="H447" t="n">
        <v>18684</v>
      </c>
      <c r="I447" t="n">
        <v>0</v>
      </c>
      <c r="J447" t="n">
        <v>18684</v>
      </c>
      <c r="K447" t="n">
        <v>0</v>
      </c>
      <c r="L447">
        <f>MIN(F447,J447)</f>
        <v/>
      </c>
      <c r="M447">
        <f>MIN(K447,MAX(0,F447-(J447-K447)))</f>
        <v/>
      </c>
    </row>
    <row r="448">
      <c r="A448" t="inlineStr">
        <is>
          <t>CLOUDLINE-DC</t>
        </is>
      </c>
      <c r="B448" t="inlineStr">
        <is>
          <t>2026-10-10</t>
        </is>
      </c>
      <c r="C448" t="n">
        <v>5</v>
      </c>
      <c r="D448" t="n">
        <v>14</v>
      </c>
      <c r="E448" t="n">
        <v>6</v>
      </c>
      <c r="F448" t="n">
        <v>14241</v>
      </c>
      <c r="G448" t="n">
        <v>0</v>
      </c>
      <c r="H448" t="n">
        <v>18777</v>
      </c>
      <c r="I448" t="n">
        <v>0</v>
      </c>
      <c r="J448" t="n">
        <v>18777</v>
      </c>
      <c r="K448" t="n">
        <v>0</v>
      </c>
      <c r="L448">
        <f>MIN(F448,J448)</f>
        <v/>
      </c>
      <c r="M448">
        <f>MIN(K448,MAX(0,F448-(J448-K448)))</f>
        <v/>
      </c>
    </row>
    <row r="449">
      <c r="A449" t="inlineStr">
        <is>
          <t>CLOUDLINE-DC</t>
        </is>
      </c>
      <c r="B449" t="inlineStr">
        <is>
          <t>2026-10-10</t>
        </is>
      </c>
      <c r="C449" t="n">
        <v>5</v>
      </c>
      <c r="D449" t="n">
        <v>15</v>
      </c>
      <c r="E449" t="n">
        <v>6</v>
      </c>
      <c r="F449" t="n">
        <v>14834</v>
      </c>
      <c r="G449" t="n">
        <v>0</v>
      </c>
      <c r="H449" t="n">
        <v>18793</v>
      </c>
      <c r="I449" t="n">
        <v>0</v>
      </c>
      <c r="J449" t="n">
        <v>18793</v>
      </c>
      <c r="K449" t="n">
        <v>0</v>
      </c>
      <c r="L449">
        <f>MIN(F449,J449)</f>
        <v/>
      </c>
      <c r="M449">
        <f>MIN(K449,MAX(0,F449-(J449-K449)))</f>
        <v/>
      </c>
    </row>
    <row r="450">
      <c r="A450" t="inlineStr">
        <is>
          <t>CLOUDLINE-DC</t>
        </is>
      </c>
      <c r="B450" t="inlineStr">
        <is>
          <t>2026-10-10</t>
        </is>
      </c>
      <c r="C450" t="n">
        <v>5</v>
      </c>
      <c r="D450" t="n">
        <v>16</v>
      </c>
      <c r="E450" t="n">
        <v>6</v>
      </c>
      <c r="F450" t="n">
        <v>15428</v>
      </c>
      <c r="G450" t="n">
        <v>0</v>
      </c>
      <c r="H450" t="n">
        <v>19137</v>
      </c>
      <c r="I450" t="n">
        <v>0</v>
      </c>
      <c r="J450" t="n">
        <v>19137</v>
      </c>
      <c r="K450" t="n">
        <v>0</v>
      </c>
      <c r="L450">
        <f>MIN(F450,J450)</f>
        <v/>
      </c>
      <c r="M450">
        <f>MIN(K450,MAX(0,F450-(J450-K450)))</f>
        <v/>
      </c>
    </row>
    <row r="451">
      <c r="A451" t="inlineStr">
        <is>
          <t>CLOUDLINE-DC</t>
        </is>
      </c>
      <c r="B451" t="inlineStr">
        <is>
          <t>2026-10-10</t>
        </is>
      </c>
      <c r="C451" t="n">
        <v>5</v>
      </c>
      <c r="D451" t="n">
        <v>17</v>
      </c>
      <c r="E451" t="n">
        <v>6</v>
      </c>
      <c r="F451" t="n">
        <v>14538</v>
      </c>
      <c r="G451" t="n">
        <v>0</v>
      </c>
      <c r="H451" t="n">
        <v>19311</v>
      </c>
      <c r="I451" t="n">
        <v>0</v>
      </c>
      <c r="J451" t="n">
        <v>19311</v>
      </c>
      <c r="K451" t="n">
        <v>0</v>
      </c>
      <c r="L451">
        <f>MIN(F451,J451)</f>
        <v/>
      </c>
      <c r="M451">
        <f>MIN(K451,MAX(0,F451-(J451-K451)))</f>
        <v/>
      </c>
    </row>
    <row r="452">
      <c r="A452" t="inlineStr">
        <is>
          <t>CLOUDLINE-DC</t>
        </is>
      </c>
      <c r="B452" t="inlineStr">
        <is>
          <t>2026-10-10</t>
        </is>
      </c>
      <c r="C452" t="n">
        <v>5</v>
      </c>
      <c r="D452" t="n">
        <v>18</v>
      </c>
      <c r="E452" t="n">
        <v>6</v>
      </c>
      <c r="F452" t="n">
        <v>15131</v>
      </c>
      <c r="G452" t="n">
        <v>0</v>
      </c>
      <c r="H452" t="n">
        <v>19192</v>
      </c>
      <c r="I452" t="n">
        <v>0</v>
      </c>
      <c r="J452" t="n">
        <v>19192</v>
      </c>
      <c r="K452" t="n">
        <v>0</v>
      </c>
      <c r="L452">
        <f>MIN(F452,J452)</f>
        <v/>
      </c>
      <c r="M452">
        <f>MIN(K452,MAX(0,F452-(J452-K452)))</f>
        <v/>
      </c>
    </row>
    <row r="453">
      <c r="A453" t="inlineStr">
        <is>
          <t>CLOUDLINE-DC</t>
        </is>
      </c>
      <c r="B453" t="inlineStr">
        <is>
          <t>2026-10-10</t>
        </is>
      </c>
      <c r="C453" t="n">
        <v>5</v>
      </c>
      <c r="D453" t="n">
        <v>19</v>
      </c>
      <c r="E453" t="n">
        <v>6</v>
      </c>
      <c r="F453" t="n">
        <v>14241</v>
      </c>
      <c r="G453" t="n">
        <v>0</v>
      </c>
      <c r="H453" t="n">
        <v>18995</v>
      </c>
      <c r="I453" t="n">
        <v>0</v>
      </c>
      <c r="J453" t="n">
        <v>18995</v>
      </c>
      <c r="K453" t="n">
        <v>0</v>
      </c>
      <c r="L453">
        <f>MIN(F453,J453)</f>
        <v/>
      </c>
      <c r="M453">
        <f>MIN(K453,MAX(0,F453-(J453-K453)))</f>
        <v/>
      </c>
    </row>
    <row r="454">
      <c r="A454" t="inlineStr">
        <is>
          <t>CLOUDLINE-DC</t>
        </is>
      </c>
      <c r="B454" t="inlineStr">
        <is>
          <t>2026-10-10</t>
        </is>
      </c>
      <c r="C454" t="n">
        <v>5</v>
      </c>
      <c r="D454" t="n">
        <v>20</v>
      </c>
      <c r="E454" t="n">
        <v>6</v>
      </c>
      <c r="F454" t="n">
        <v>14834</v>
      </c>
      <c r="G454" t="n">
        <v>0</v>
      </c>
      <c r="H454" t="n">
        <v>18556</v>
      </c>
      <c r="I454" t="n">
        <v>0</v>
      </c>
      <c r="J454" t="n">
        <v>18556</v>
      </c>
      <c r="K454" t="n">
        <v>0</v>
      </c>
      <c r="L454">
        <f>MIN(F454,J454)</f>
        <v/>
      </c>
      <c r="M454">
        <f>MIN(K454,MAX(0,F454-(J454-K454)))</f>
        <v/>
      </c>
    </row>
    <row r="455">
      <c r="A455" t="inlineStr">
        <is>
          <t>CLOUDLINE-DC</t>
        </is>
      </c>
      <c r="B455" t="inlineStr">
        <is>
          <t>2026-10-10</t>
        </is>
      </c>
      <c r="C455" t="n">
        <v>5</v>
      </c>
      <c r="D455" t="n">
        <v>21</v>
      </c>
      <c r="E455" t="n">
        <v>6</v>
      </c>
      <c r="F455" t="n">
        <v>15428</v>
      </c>
      <c r="G455" t="n">
        <v>0</v>
      </c>
      <c r="H455" t="n">
        <v>18270</v>
      </c>
      <c r="I455" t="n">
        <v>0</v>
      </c>
      <c r="J455" t="n">
        <v>18270</v>
      </c>
      <c r="K455" t="n">
        <v>0</v>
      </c>
      <c r="L455">
        <f>MIN(F455,J455)</f>
        <v/>
      </c>
      <c r="M455">
        <f>MIN(K455,MAX(0,F455-(J455-K455)))</f>
        <v/>
      </c>
    </row>
    <row r="456">
      <c r="A456" t="inlineStr">
        <is>
          <t>CLOUDLINE-DC</t>
        </is>
      </c>
      <c r="B456" t="inlineStr">
        <is>
          <t>2026-10-10</t>
        </is>
      </c>
      <c r="C456" t="n">
        <v>5</v>
      </c>
      <c r="D456" t="n">
        <v>22</v>
      </c>
      <c r="E456" t="n">
        <v>6</v>
      </c>
      <c r="F456" t="n">
        <v>14538</v>
      </c>
      <c r="G456" t="n">
        <v>0</v>
      </c>
      <c r="H456" t="n">
        <v>17574</v>
      </c>
      <c r="I456" t="n">
        <v>0</v>
      </c>
      <c r="J456" t="n">
        <v>17574</v>
      </c>
      <c r="K456" t="n">
        <v>0</v>
      </c>
      <c r="L456">
        <f>MIN(F456,J456)</f>
        <v/>
      </c>
      <c r="M456">
        <f>MIN(K456,MAX(0,F456-(J456-K456)))</f>
        <v/>
      </c>
    </row>
    <row r="457">
      <c r="A457" t="inlineStr">
        <is>
          <t>CLOUDLINE-DC</t>
        </is>
      </c>
      <c r="B457" t="inlineStr">
        <is>
          <t>2026-10-10</t>
        </is>
      </c>
      <c r="C457" t="n">
        <v>5</v>
      </c>
      <c r="D457" t="n">
        <v>23</v>
      </c>
      <c r="E457" t="n">
        <v>6</v>
      </c>
      <c r="F457" t="n">
        <v>15131</v>
      </c>
      <c r="G457" t="n">
        <v>0</v>
      </c>
      <c r="H457" t="n">
        <v>16464</v>
      </c>
      <c r="I457" t="n">
        <v>0</v>
      </c>
      <c r="J457" t="n">
        <v>16464</v>
      </c>
      <c r="K457" t="n">
        <v>0</v>
      </c>
      <c r="L457">
        <f>MIN(F457,J457)</f>
        <v/>
      </c>
      <c r="M457">
        <f>MIN(K457,MAX(0,F457-(J457-K457)))</f>
        <v/>
      </c>
    </row>
    <row r="458">
      <c r="A458" t="inlineStr">
        <is>
          <t>CLOUDLINE-DC</t>
        </is>
      </c>
      <c r="B458" t="inlineStr">
        <is>
          <t>2026-10-11</t>
        </is>
      </c>
      <c r="C458" t="n">
        <v>6</v>
      </c>
      <c r="D458" t="n">
        <v>0</v>
      </c>
      <c r="E458" t="n">
        <v>7</v>
      </c>
      <c r="F458" t="n">
        <v>14241</v>
      </c>
      <c r="G458" t="n">
        <v>0</v>
      </c>
      <c r="H458" t="n">
        <v>15708</v>
      </c>
      <c r="I458" t="n">
        <v>0</v>
      </c>
      <c r="J458" t="n">
        <v>15708</v>
      </c>
      <c r="K458" t="n">
        <v>0</v>
      </c>
      <c r="L458">
        <f>MIN(F458,J458)</f>
        <v/>
      </c>
      <c r="M458">
        <f>MIN(K458,MAX(0,F458-(J458-K458)))</f>
        <v/>
      </c>
    </row>
    <row r="459">
      <c r="A459" t="inlineStr">
        <is>
          <t>CLOUDLINE-DC</t>
        </is>
      </c>
      <c r="B459" t="inlineStr">
        <is>
          <t>2026-10-11</t>
        </is>
      </c>
      <c r="C459" t="n">
        <v>6</v>
      </c>
      <c r="D459" t="n">
        <v>1</v>
      </c>
      <c r="E459" t="n">
        <v>7</v>
      </c>
      <c r="F459" t="n">
        <v>14834</v>
      </c>
      <c r="G459" t="n">
        <v>0</v>
      </c>
      <c r="H459" t="n">
        <v>15022</v>
      </c>
      <c r="I459" t="n">
        <v>0</v>
      </c>
      <c r="J459" t="n">
        <v>15022</v>
      </c>
      <c r="K459" t="n">
        <v>0</v>
      </c>
      <c r="L459">
        <f>MIN(F459,J459)</f>
        <v/>
      </c>
      <c r="M459">
        <f>MIN(K459,MAX(0,F459-(J459-K459)))</f>
        <v/>
      </c>
    </row>
    <row r="460">
      <c r="A460" t="inlineStr">
        <is>
          <t>CLOUDLINE-DC</t>
        </is>
      </c>
      <c r="B460" t="inlineStr">
        <is>
          <t>2026-10-11</t>
        </is>
      </c>
      <c r="C460" t="n">
        <v>6</v>
      </c>
      <c r="D460" t="n">
        <v>2</v>
      </c>
      <c r="E460" t="n">
        <v>7</v>
      </c>
      <c r="F460" t="n">
        <v>15428</v>
      </c>
      <c r="G460" t="n">
        <v>0</v>
      </c>
      <c r="H460" t="n">
        <v>14158</v>
      </c>
      <c r="I460" t="n">
        <v>0</v>
      </c>
      <c r="J460" t="n">
        <v>14158</v>
      </c>
      <c r="K460" t="n">
        <v>0</v>
      </c>
      <c r="L460">
        <f>MIN(F460,J460)</f>
        <v/>
      </c>
      <c r="M460">
        <f>MIN(K460,MAX(0,F460-(J460-K460)))</f>
        <v/>
      </c>
    </row>
    <row r="461">
      <c r="A461" t="inlineStr">
        <is>
          <t>CLOUDLINE-DC</t>
        </is>
      </c>
      <c r="B461" t="inlineStr">
        <is>
          <t>2026-10-11</t>
        </is>
      </c>
      <c r="C461" t="n">
        <v>6</v>
      </c>
      <c r="D461" t="n">
        <v>3</v>
      </c>
      <c r="E461" t="n">
        <v>7</v>
      </c>
      <c r="F461" t="n">
        <v>14538</v>
      </c>
      <c r="G461" t="n">
        <v>0</v>
      </c>
      <c r="H461" t="n">
        <v>14241</v>
      </c>
      <c r="I461" t="n">
        <v>0</v>
      </c>
      <c r="J461" t="n">
        <v>14241</v>
      </c>
      <c r="K461" t="n">
        <v>0</v>
      </c>
      <c r="L461">
        <f>MIN(F461,J461)</f>
        <v/>
      </c>
      <c r="M461">
        <f>MIN(K461,MAX(0,F461-(J461-K461)))</f>
        <v/>
      </c>
    </row>
    <row r="462">
      <c r="A462" t="inlineStr">
        <is>
          <t>CLOUDLINE-DC</t>
        </is>
      </c>
      <c r="B462" t="inlineStr">
        <is>
          <t>2026-10-11</t>
        </is>
      </c>
      <c r="C462" t="n">
        <v>6</v>
      </c>
      <c r="D462" t="n">
        <v>4</v>
      </c>
      <c r="E462" t="n">
        <v>7</v>
      </c>
      <c r="F462" t="n">
        <v>15131</v>
      </c>
      <c r="G462" t="n">
        <v>0</v>
      </c>
      <c r="H462" t="n">
        <v>14453</v>
      </c>
      <c r="I462" t="n">
        <v>0</v>
      </c>
      <c r="J462" t="n">
        <v>14453</v>
      </c>
      <c r="K462" t="n">
        <v>0</v>
      </c>
      <c r="L462">
        <f>MIN(F462,J462)</f>
        <v/>
      </c>
      <c r="M462">
        <f>MIN(K462,MAX(0,F462-(J462-K462)))</f>
        <v/>
      </c>
    </row>
    <row r="463">
      <c r="A463" t="inlineStr">
        <is>
          <t>CLOUDLINE-DC</t>
        </is>
      </c>
      <c r="B463" t="inlineStr">
        <is>
          <t>2026-10-11</t>
        </is>
      </c>
      <c r="C463" t="n">
        <v>6</v>
      </c>
      <c r="D463" t="n">
        <v>5</v>
      </c>
      <c r="E463" t="n">
        <v>7</v>
      </c>
      <c r="F463" t="n">
        <v>14241</v>
      </c>
      <c r="G463" t="n">
        <v>0</v>
      </c>
      <c r="H463" t="n">
        <v>13955</v>
      </c>
      <c r="I463" t="n">
        <v>0</v>
      </c>
      <c r="J463" t="n">
        <v>13955</v>
      </c>
      <c r="K463" t="n">
        <v>0</v>
      </c>
      <c r="L463">
        <f>MIN(F463,J463)</f>
        <v/>
      </c>
      <c r="M463">
        <f>MIN(K463,MAX(0,F463-(J463-K463)))</f>
        <v/>
      </c>
    </row>
    <row r="464">
      <c r="A464" t="inlineStr">
        <is>
          <t>CLOUDLINE-DC</t>
        </is>
      </c>
      <c r="B464" t="inlineStr">
        <is>
          <t>2026-10-11</t>
        </is>
      </c>
      <c r="C464" t="n">
        <v>6</v>
      </c>
      <c r="D464" t="n">
        <v>6</v>
      </c>
      <c r="E464" t="n">
        <v>7</v>
      </c>
      <c r="F464" t="n">
        <v>14834</v>
      </c>
      <c r="G464" t="n">
        <v>0</v>
      </c>
      <c r="H464" t="n">
        <v>14122</v>
      </c>
      <c r="I464" t="n">
        <v>0</v>
      </c>
      <c r="J464" t="n">
        <v>14122</v>
      </c>
      <c r="K464" t="n">
        <v>0</v>
      </c>
      <c r="L464">
        <f>MIN(F464,J464)</f>
        <v/>
      </c>
      <c r="M464">
        <f>MIN(K464,MAX(0,F464-(J464-K464)))</f>
        <v/>
      </c>
    </row>
    <row r="465">
      <c r="A465" t="inlineStr">
        <is>
          <t>CLOUDLINE-DC</t>
        </is>
      </c>
      <c r="B465" t="inlineStr">
        <is>
          <t>2026-10-11</t>
        </is>
      </c>
      <c r="C465" t="n">
        <v>6</v>
      </c>
      <c r="D465" t="n">
        <v>7</v>
      </c>
      <c r="E465" t="n">
        <v>7</v>
      </c>
      <c r="F465" t="n">
        <v>15428</v>
      </c>
      <c r="G465" t="n">
        <v>0</v>
      </c>
      <c r="H465" t="n">
        <v>14533</v>
      </c>
      <c r="I465" t="n">
        <v>0</v>
      </c>
      <c r="J465" t="n">
        <v>14533</v>
      </c>
      <c r="K465" t="n">
        <v>0</v>
      </c>
      <c r="L465">
        <f>MIN(F465,J465)</f>
        <v/>
      </c>
      <c r="M465">
        <f>MIN(K465,MAX(0,F465-(J465-K465)))</f>
        <v/>
      </c>
    </row>
    <row r="466">
      <c r="A466" t="inlineStr">
        <is>
          <t>CLOUDLINE-DC</t>
        </is>
      </c>
      <c r="B466" t="inlineStr">
        <is>
          <t>2026-10-11</t>
        </is>
      </c>
      <c r="C466" t="n">
        <v>6</v>
      </c>
      <c r="D466" t="n">
        <v>8</v>
      </c>
      <c r="E466" t="n">
        <v>7</v>
      </c>
      <c r="F466" t="n">
        <v>14538</v>
      </c>
      <c r="G466" t="n">
        <v>0</v>
      </c>
      <c r="H466" t="n">
        <v>14904</v>
      </c>
      <c r="I466" t="n">
        <v>0</v>
      </c>
      <c r="J466" t="n">
        <v>14904</v>
      </c>
      <c r="K466" t="n">
        <v>0</v>
      </c>
      <c r="L466">
        <f>MIN(F466,J466)</f>
        <v/>
      </c>
      <c r="M466">
        <f>MIN(K466,MAX(0,F466-(J466-K466)))</f>
        <v/>
      </c>
    </row>
    <row r="467">
      <c r="A467" t="inlineStr">
        <is>
          <t>CLOUDLINE-DC</t>
        </is>
      </c>
      <c r="B467" t="inlineStr">
        <is>
          <t>2026-10-11</t>
        </is>
      </c>
      <c r="C467" t="n">
        <v>6</v>
      </c>
      <c r="D467" t="n">
        <v>9</v>
      </c>
      <c r="E467" t="n">
        <v>7</v>
      </c>
      <c r="F467" t="n">
        <v>15131</v>
      </c>
      <c r="G467" t="n">
        <v>0</v>
      </c>
      <c r="H467" t="n">
        <v>15821</v>
      </c>
      <c r="I467" t="n">
        <v>0</v>
      </c>
      <c r="J467" t="n">
        <v>15821</v>
      </c>
      <c r="K467" t="n">
        <v>0</v>
      </c>
      <c r="L467">
        <f>MIN(F467,J467)</f>
        <v/>
      </c>
      <c r="M467">
        <f>MIN(K467,MAX(0,F467-(J467-K467)))</f>
        <v/>
      </c>
    </row>
    <row r="468">
      <c r="A468" t="inlineStr">
        <is>
          <t>CLOUDLINE-DC</t>
        </is>
      </c>
      <c r="B468" t="inlineStr">
        <is>
          <t>2026-10-11</t>
        </is>
      </c>
      <c r="C468" t="n">
        <v>6</v>
      </c>
      <c r="D468" t="n">
        <v>10</v>
      </c>
      <c r="E468" t="n">
        <v>7</v>
      </c>
      <c r="F468" t="n">
        <v>14241</v>
      </c>
      <c r="G468" t="n">
        <v>0</v>
      </c>
      <c r="H468" t="n">
        <v>16739</v>
      </c>
      <c r="I468" t="n">
        <v>0</v>
      </c>
      <c r="J468" t="n">
        <v>16739</v>
      </c>
      <c r="K468" t="n">
        <v>0</v>
      </c>
      <c r="L468">
        <f>MIN(F468,J468)</f>
        <v/>
      </c>
      <c r="M468">
        <f>MIN(K468,MAX(0,F468-(J468-K468)))</f>
        <v/>
      </c>
    </row>
    <row r="469">
      <c r="A469" t="inlineStr">
        <is>
          <t>CLOUDLINE-DC</t>
        </is>
      </c>
      <c r="B469" t="inlineStr">
        <is>
          <t>2026-10-11</t>
        </is>
      </c>
      <c r="C469" t="n">
        <v>6</v>
      </c>
      <c r="D469" t="n">
        <v>11</v>
      </c>
      <c r="E469" t="n">
        <v>7</v>
      </c>
      <c r="F469" t="n">
        <v>14834</v>
      </c>
      <c r="G469" t="n">
        <v>0</v>
      </c>
      <c r="H469" t="n">
        <v>16746</v>
      </c>
      <c r="I469" t="n">
        <v>0</v>
      </c>
      <c r="J469" t="n">
        <v>16746</v>
      </c>
      <c r="K469" t="n">
        <v>0</v>
      </c>
      <c r="L469">
        <f>MIN(F469,J469)</f>
        <v/>
      </c>
      <c r="M469">
        <f>MIN(K469,MAX(0,F469-(J469-K469)))</f>
        <v/>
      </c>
    </row>
    <row r="470">
      <c r="A470" t="inlineStr">
        <is>
          <t>CLOUDLINE-DC</t>
        </is>
      </c>
      <c r="B470" t="inlineStr">
        <is>
          <t>2026-10-11</t>
        </is>
      </c>
      <c r="C470" t="n">
        <v>6</v>
      </c>
      <c r="D470" t="n">
        <v>12</v>
      </c>
      <c r="E470" t="n">
        <v>7</v>
      </c>
      <c r="F470" t="n">
        <v>15428</v>
      </c>
      <c r="G470" t="n">
        <v>0</v>
      </c>
      <c r="H470" t="n">
        <v>15926</v>
      </c>
      <c r="I470" t="n">
        <v>0</v>
      </c>
      <c r="J470" t="n">
        <v>15926</v>
      </c>
      <c r="K470" t="n">
        <v>0</v>
      </c>
      <c r="L470">
        <f>MIN(F470,J470)</f>
        <v/>
      </c>
      <c r="M470">
        <f>MIN(K470,MAX(0,F470-(J470-K470)))</f>
        <v/>
      </c>
    </row>
    <row r="471">
      <c r="A471" t="inlineStr">
        <is>
          <t>CLOUDLINE-DC</t>
        </is>
      </c>
      <c r="B471" t="inlineStr">
        <is>
          <t>2026-10-11</t>
        </is>
      </c>
      <c r="C471" t="n">
        <v>6</v>
      </c>
      <c r="D471" t="n">
        <v>13</v>
      </c>
      <c r="E471" t="n">
        <v>7</v>
      </c>
      <c r="F471" t="n">
        <v>14538</v>
      </c>
      <c r="G471" t="n">
        <v>0</v>
      </c>
      <c r="H471" t="n">
        <v>15589</v>
      </c>
      <c r="I471" t="n">
        <v>0</v>
      </c>
      <c r="J471" t="n">
        <v>15589</v>
      </c>
      <c r="K471" t="n">
        <v>0</v>
      </c>
      <c r="L471">
        <f>MIN(F471,J471)</f>
        <v/>
      </c>
      <c r="M471">
        <f>MIN(K471,MAX(0,F471-(J471-K471)))</f>
        <v/>
      </c>
    </row>
    <row r="472">
      <c r="A472" t="inlineStr">
        <is>
          <t>CLOUDLINE-DC</t>
        </is>
      </c>
      <c r="B472" t="inlineStr">
        <is>
          <t>2026-10-11</t>
        </is>
      </c>
      <c r="C472" t="n">
        <v>6</v>
      </c>
      <c r="D472" t="n">
        <v>14</v>
      </c>
      <c r="E472" t="n">
        <v>7</v>
      </c>
      <c r="F472" t="n">
        <v>15131</v>
      </c>
      <c r="G472" t="n">
        <v>0</v>
      </c>
      <c r="H472" t="n">
        <v>15419</v>
      </c>
      <c r="I472" t="n">
        <v>0</v>
      </c>
      <c r="J472" t="n">
        <v>15419</v>
      </c>
      <c r="K472" t="n">
        <v>0</v>
      </c>
      <c r="L472">
        <f>MIN(F472,J472)</f>
        <v/>
      </c>
      <c r="M472">
        <f>MIN(K472,MAX(0,F472-(J472-K472)))</f>
        <v/>
      </c>
    </row>
    <row r="473">
      <c r="A473" t="inlineStr">
        <is>
          <t>CLOUDLINE-DC</t>
        </is>
      </c>
      <c r="B473" t="inlineStr">
        <is>
          <t>2026-10-11</t>
        </is>
      </c>
      <c r="C473" t="n">
        <v>6</v>
      </c>
      <c r="D473" t="n">
        <v>15</v>
      </c>
      <c r="E473" t="n">
        <v>7</v>
      </c>
      <c r="F473" t="n">
        <v>14241</v>
      </c>
      <c r="G473" t="n">
        <v>0</v>
      </c>
      <c r="H473" t="n">
        <v>15531</v>
      </c>
      <c r="I473" t="n">
        <v>0</v>
      </c>
      <c r="J473" t="n">
        <v>15531</v>
      </c>
      <c r="K473" t="n">
        <v>0</v>
      </c>
      <c r="L473">
        <f>MIN(F473,J473)</f>
        <v/>
      </c>
      <c r="M473">
        <f>MIN(K473,MAX(0,F473-(J473-K473)))</f>
        <v/>
      </c>
    </row>
    <row r="474">
      <c r="A474" t="inlineStr">
        <is>
          <t>CLOUDLINE-DC</t>
        </is>
      </c>
      <c r="B474" t="inlineStr">
        <is>
          <t>2026-10-11</t>
        </is>
      </c>
      <c r="C474" t="n">
        <v>6</v>
      </c>
      <c r="D474" t="n">
        <v>16</v>
      </c>
      <c r="E474" t="n">
        <v>7</v>
      </c>
      <c r="F474" t="n">
        <v>14834</v>
      </c>
      <c r="G474" t="n">
        <v>0</v>
      </c>
      <c r="H474" t="n">
        <v>16481</v>
      </c>
      <c r="I474" t="n">
        <v>0</v>
      </c>
      <c r="J474" t="n">
        <v>16481</v>
      </c>
      <c r="K474" t="n">
        <v>0</v>
      </c>
      <c r="L474">
        <f>MIN(F474,J474)</f>
        <v/>
      </c>
      <c r="M474">
        <f>MIN(K474,MAX(0,F474-(J474-K474)))</f>
        <v/>
      </c>
    </row>
    <row r="475">
      <c r="A475" t="inlineStr">
        <is>
          <t>CLOUDLINE-DC</t>
        </is>
      </c>
      <c r="B475" t="inlineStr">
        <is>
          <t>2026-10-11</t>
        </is>
      </c>
      <c r="C475" t="n">
        <v>6</v>
      </c>
      <c r="D475" t="n">
        <v>17</v>
      </c>
      <c r="E475" t="n">
        <v>7</v>
      </c>
      <c r="F475" t="n">
        <v>15428</v>
      </c>
      <c r="G475" t="n">
        <v>0</v>
      </c>
      <c r="H475" t="n">
        <v>17039</v>
      </c>
      <c r="I475" t="n">
        <v>0</v>
      </c>
      <c r="J475" t="n">
        <v>17039</v>
      </c>
      <c r="K475" t="n">
        <v>0</v>
      </c>
      <c r="L475">
        <f>MIN(F475,J475)</f>
        <v/>
      </c>
      <c r="M475">
        <f>MIN(K475,MAX(0,F475-(J475-K475)))</f>
        <v/>
      </c>
    </row>
    <row r="476">
      <c r="A476" t="inlineStr">
        <is>
          <t>CLOUDLINE-DC</t>
        </is>
      </c>
      <c r="B476" t="inlineStr">
        <is>
          <t>2026-10-11</t>
        </is>
      </c>
      <c r="C476" t="n">
        <v>6</v>
      </c>
      <c r="D476" t="n">
        <v>18</v>
      </c>
      <c r="E476" t="n">
        <v>7</v>
      </c>
      <c r="F476" t="n">
        <v>14538</v>
      </c>
      <c r="G476" t="n">
        <v>0</v>
      </c>
      <c r="H476" t="n">
        <v>16986</v>
      </c>
      <c r="I476" t="n">
        <v>0</v>
      </c>
      <c r="J476" t="n">
        <v>16986</v>
      </c>
      <c r="K476" t="n">
        <v>0</v>
      </c>
      <c r="L476">
        <f>MIN(F476,J476)</f>
        <v/>
      </c>
      <c r="M476">
        <f>MIN(K476,MAX(0,F476-(J476-K476)))</f>
        <v/>
      </c>
    </row>
    <row r="477">
      <c r="A477" t="inlineStr">
        <is>
          <t>CLOUDLINE-DC</t>
        </is>
      </c>
      <c r="B477" t="inlineStr">
        <is>
          <t>2026-10-11</t>
        </is>
      </c>
      <c r="C477" t="n">
        <v>6</v>
      </c>
      <c r="D477" t="n">
        <v>19</v>
      </c>
      <c r="E477" t="n">
        <v>7</v>
      </c>
      <c r="F477" t="n">
        <v>15131</v>
      </c>
      <c r="G477" t="n">
        <v>0</v>
      </c>
      <c r="H477" t="n">
        <v>16598</v>
      </c>
      <c r="I477" t="n">
        <v>0</v>
      </c>
      <c r="J477" t="n">
        <v>16598</v>
      </c>
      <c r="K477" t="n">
        <v>0</v>
      </c>
      <c r="L477">
        <f>MIN(F477,J477)</f>
        <v/>
      </c>
      <c r="M477">
        <f>MIN(K477,MAX(0,F477-(J477-K477)))</f>
        <v/>
      </c>
    </row>
    <row r="478">
      <c r="A478" t="inlineStr">
        <is>
          <t>CLOUDLINE-DC</t>
        </is>
      </c>
      <c r="B478" t="inlineStr">
        <is>
          <t>2026-10-11</t>
        </is>
      </c>
      <c r="C478" t="n">
        <v>6</v>
      </c>
      <c r="D478" t="n">
        <v>20</v>
      </c>
      <c r="E478" t="n">
        <v>7</v>
      </c>
      <c r="F478" t="n">
        <v>14241</v>
      </c>
      <c r="G478" t="n">
        <v>0</v>
      </c>
      <c r="H478" t="n">
        <v>16150</v>
      </c>
      <c r="I478" t="n">
        <v>0</v>
      </c>
      <c r="J478" t="n">
        <v>16150</v>
      </c>
      <c r="K478" t="n">
        <v>0</v>
      </c>
      <c r="L478">
        <f>MIN(F478,J478)</f>
        <v/>
      </c>
      <c r="M478">
        <f>MIN(K478,MAX(0,F478-(J478-K478)))</f>
        <v/>
      </c>
    </row>
    <row r="479">
      <c r="A479" t="inlineStr">
        <is>
          <t>CLOUDLINE-DC</t>
        </is>
      </c>
      <c r="B479" t="inlineStr">
        <is>
          <t>2026-10-11</t>
        </is>
      </c>
      <c r="C479" t="n">
        <v>6</v>
      </c>
      <c r="D479" t="n">
        <v>21</v>
      </c>
      <c r="E479" t="n">
        <v>7</v>
      </c>
      <c r="F479" t="n">
        <v>14834</v>
      </c>
      <c r="G479" t="n">
        <v>0</v>
      </c>
      <c r="H479" t="n">
        <v>15299</v>
      </c>
      <c r="I479" t="n">
        <v>0</v>
      </c>
      <c r="J479" t="n">
        <v>15299</v>
      </c>
      <c r="K479" t="n">
        <v>0</v>
      </c>
      <c r="L479">
        <f>MIN(F479,J479)</f>
        <v/>
      </c>
      <c r="M479">
        <f>MIN(K479,MAX(0,F479-(J479-K479)))</f>
        <v/>
      </c>
    </row>
    <row r="480">
      <c r="A480" t="inlineStr">
        <is>
          <t>CLOUDLINE-DC</t>
        </is>
      </c>
      <c r="B480" t="inlineStr">
        <is>
          <t>2026-10-11</t>
        </is>
      </c>
      <c r="C480" t="n">
        <v>6</v>
      </c>
      <c r="D480" t="n">
        <v>22</v>
      </c>
      <c r="E480" t="n">
        <v>7</v>
      </c>
      <c r="F480" t="n">
        <v>15428</v>
      </c>
      <c r="G480" t="n">
        <v>0</v>
      </c>
      <c r="H480" t="n">
        <v>13540</v>
      </c>
      <c r="I480" t="n">
        <v>0</v>
      </c>
      <c r="J480" t="n">
        <v>13540</v>
      </c>
      <c r="K480" t="n">
        <v>0</v>
      </c>
      <c r="L480">
        <f>MIN(F480,J480)</f>
        <v/>
      </c>
      <c r="M480">
        <f>MIN(K480,MAX(0,F480-(J480-K480)))</f>
        <v/>
      </c>
    </row>
    <row r="481">
      <c r="A481" t="inlineStr">
        <is>
          <t>CLOUDLINE-DC</t>
        </is>
      </c>
      <c r="B481" t="inlineStr">
        <is>
          <t>2026-10-11</t>
        </is>
      </c>
      <c r="C481" t="n">
        <v>6</v>
      </c>
      <c r="D481" t="n">
        <v>23</v>
      </c>
      <c r="E481" t="n">
        <v>7</v>
      </c>
      <c r="F481" t="n">
        <v>14538</v>
      </c>
      <c r="G481" t="n">
        <v>0</v>
      </c>
      <c r="H481" t="n">
        <v>11979</v>
      </c>
      <c r="I481" t="n">
        <v>0</v>
      </c>
      <c r="J481" t="n">
        <v>11979</v>
      </c>
      <c r="K481" t="n">
        <v>0</v>
      </c>
      <c r="L481">
        <f>MIN(F481,J481)</f>
        <v/>
      </c>
      <c r="M481">
        <f>MIN(K481,MAX(0,F481-(J481-K481)))</f>
        <v/>
      </c>
    </row>
    <row r="482">
      <c r="A482" t="inlineStr">
        <is>
          <t>CLOUDLINE-DC</t>
        </is>
      </c>
      <c r="B482" t="inlineStr">
        <is>
          <t>2026-10-12</t>
        </is>
      </c>
      <c r="C482" t="n">
        <v>7</v>
      </c>
      <c r="D482" t="n">
        <v>0</v>
      </c>
      <c r="E482" t="n">
        <v>1</v>
      </c>
      <c r="F482" t="n">
        <v>15131</v>
      </c>
      <c r="G482" t="n">
        <v>0</v>
      </c>
      <c r="H482" t="n">
        <v>11262</v>
      </c>
      <c r="I482" t="n">
        <v>0</v>
      </c>
      <c r="J482" t="n">
        <v>11262</v>
      </c>
      <c r="K482" t="n">
        <v>0</v>
      </c>
      <c r="L482">
        <f>MIN(F482,J482)</f>
        <v/>
      </c>
      <c r="M482">
        <f>MIN(K482,MAX(0,F482-(J482-K482)))</f>
        <v/>
      </c>
    </row>
    <row r="483">
      <c r="A483" t="inlineStr">
        <is>
          <t>CLOUDLINE-DC</t>
        </is>
      </c>
      <c r="B483" t="inlineStr">
        <is>
          <t>2026-10-12</t>
        </is>
      </c>
      <c r="C483" t="n">
        <v>7</v>
      </c>
      <c r="D483" t="n">
        <v>1</v>
      </c>
      <c r="E483" t="n">
        <v>1</v>
      </c>
      <c r="F483" t="n">
        <v>14241</v>
      </c>
      <c r="G483" t="n">
        <v>0</v>
      </c>
      <c r="H483" t="n">
        <v>10858</v>
      </c>
      <c r="I483" t="n">
        <v>0</v>
      </c>
      <c r="J483" t="n">
        <v>10858</v>
      </c>
      <c r="K483" t="n">
        <v>0</v>
      </c>
      <c r="L483">
        <f>MIN(F483,J483)</f>
        <v/>
      </c>
      <c r="M483">
        <f>MIN(K483,MAX(0,F483-(J483-K483)))</f>
        <v/>
      </c>
    </row>
    <row r="484">
      <c r="A484" t="inlineStr">
        <is>
          <t>CLOUDLINE-DC</t>
        </is>
      </c>
      <c r="B484" t="inlineStr">
        <is>
          <t>2026-10-12</t>
        </is>
      </c>
      <c r="C484" t="n">
        <v>7</v>
      </c>
      <c r="D484" t="n">
        <v>2</v>
      </c>
      <c r="E484" t="n">
        <v>1</v>
      </c>
      <c r="F484" t="n">
        <v>14834</v>
      </c>
      <c r="G484" t="n">
        <v>0</v>
      </c>
      <c r="H484" t="n">
        <v>10464</v>
      </c>
      <c r="I484" t="n">
        <v>0</v>
      </c>
      <c r="J484" t="n">
        <v>10464</v>
      </c>
      <c r="K484" t="n">
        <v>0</v>
      </c>
      <c r="L484">
        <f>MIN(F484,J484)</f>
        <v/>
      </c>
      <c r="M484">
        <f>MIN(K484,MAX(0,F484-(J484-K484)))</f>
        <v/>
      </c>
    </row>
    <row r="485">
      <c r="A485" t="inlineStr">
        <is>
          <t>CLOUDLINE-DC</t>
        </is>
      </c>
      <c r="B485" t="inlineStr">
        <is>
          <t>2026-10-12</t>
        </is>
      </c>
      <c r="C485" t="n">
        <v>7</v>
      </c>
      <c r="D485" t="n">
        <v>3</v>
      </c>
      <c r="E485" t="n">
        <v>1</v>
      </c>
      <c r="F485" t="n">
        <v>15428</v>
      </c>
      <c r="G485" t="n">
        <v>0</v>
      </c>
      <c r="H485" t="n">
        <v>11779</v>
      </c>
      <c r="I485" t="n">
        <v>0</v>
      </c>
      <c r="J485" t="n">
        <v>11779</v>
      </c>
      <c r="K485" t="n">
        <v>0</v>
      </c>
      <c r="L485">
        <f>MIN(F485,J485)</f>
        <v/>
      </c>
      <c r="M485">
        <f>MIN(K485,MAX(0,F485-(J485-K485)))</f>
        <v/>
      </c>
    </row>
    <row r="486">
      <c r="A486" t="inlineStr">
        <is>
          <t>CLOUDLINE-DC</t>
        </is>
      </c>
      <c r="B486" t="inlineStr">
        <is>
          <t>2026-10-12</t>
        </is>
      </c>
      <c r="C486" t="n">
        <v>7</v>
      </c>
      <c r="D486" t="n">
        <v>4</v>
      </c>
      <c r="E486" t="n">
        <v>1</v>
      </c>
      <c r="F486" t="n">
        <v>14538</v>
      </c>
      <c r="G486" t="n">
        <v>0</v>
      </c>
      <c r="H486" t="n">
        <v>12600</v>
      </c>
      <c r="I486" t="n">
        <v>0</v>
      </c>
      <c r="J486" t="n">
        <v>12600</v>
      </c>
      <c r="K486" t="n">
        <v>0</v>
      </c>
      <c r="L486">
        <f>MIN(F486,J486)</f>
        <v/>
      </c>
      <c r="M486">
        <f>MIN(K486,MAX(0,F486-(J486-K486)))</f>
        <v/>
      </c>
    </row>
    <row r="487">
      <c r="A487" t="inlineStr">
        <is>
          <t>CLOUDLINE-DC</t>
        </is>
      </c>
      <c r="B487" t="inlineStr">
        <is>
          <t>2026-10-12</t>
        </is>
      </c>
      <c r="C487" t="n">
        <v>7</v>
      </c>
      <c r="D487" t="n">
        <v>5</v>
      </c>
      <c r="E487" t="n">
        <v>1</v>
      </c>
      <c r="F487" t="n">
        <v>15131</v>
      </c>
      <c r="G487" t="n">
        <v>0</v>
      </c>
      <c r="H487" t="n">
        <v>12182</v>
      </c>
      <c r="I487" t="n">
        <v>0</v>
      </c>
      <c r="J487" t="n">
        <v>12182</v>
      </c>
      <c r="K487" t="n">
        <v>0</v>
      </c>
      <c r="L487">
        <f>MIN(F487,J487)</f>
        <v/>
      </c>
      <c r="M487">
        <f>MIN(K487,MAX(0,F487-(J487-K487)))</f>
        <v/>
      </c>
    </row>
    <row r="488">
      <c r="A488" t="inlineStr">
        <is>
          <t>CLOUDLINE-DC</t>
        </is>
      </c>
      <c r="B488" t="inlineStr">
        <is>
          <t>2026-10-12</t>
        </is>
      </c>
      <c r="C488" t="n">
        <v>7</v>
      </c>
      <c r="D488" t="n">
        <v>6</v>
      </c>
      <c r="E488" t="n">
        <v>1</v>
      </c>
      <c r="F488" t="n">
        <v>14241</v>
      </c>
      <c r="G488" t="n">
        <v>0</v>
      </c>
      <c r="H488" t="n">
        <v>11428</v>
      </c>
      <c r="I488" t="n">
        <v>0</v>
      </c>
      <c r="J488" t="n">
        <v>11428</v>
      </c>
      <c r="K488" t="n">
        <v>0</v>
      </c>
      <c r="L488">
        <f>MIN(F488,J488)</f>
        <v/>
      </c>
      <c r="M488">
        <f>MIN(K488,MAX(0,F488-(J488-K488)))</f>
        <v/>
      </c>
    </row>
    <row r="489">
      <c r="A489" t="inlineStr">
        <is>
          <t>CLOUDLINE-DC</t>
        </is>
      </c>
      <c r="B489" t="inlineStr">
        <is>
          <t>2026-10-12</t>
        </is>
      </c>
      <c r="C489" t="n">
        <v>7</v>
      </c>
      <c r="D489" t="n">
        <v>7</v>
      </c>
      <c r="E489" t="n">
        <v>1</v>
      </c>
      <c r="F489" t="n">
        <v>14834</v>
      </c>
      <c r="G489" t="n">
        <v>0</v>
      </c>
      <c r="H489" t="n">
        <v>10203</v>
      </c>
      <c r="I489" t="n">
        <v>0</v>
      </c>
      <c r="J489" t="n">
        <v>10203</v>
      </c>
      <c r="K489" t="n">
        <v>0</v>
      </c>
      <c r="L489">
        <f>MIN(F489,J489)</f>
        <v/>
      </c>
      <c r="M489">
        <f>MIN(K489,MAX(0,F489-(J489-K489)))</f>
        <v/>
      </c>
    </row>
    <row r="490">
      <c r="A490" t="inlineStr">
        <is>
          <t>CLOUDLINE-DC</t>
        </is>
      </c>
      <c r="B490" t="inlineStr">
        <is>
          <t>2026-10-12</t>
        </is>
      </c>
      <c r="C490" t="n">
        <v>7</v>
      </c>
      <c r="D490" t="n">
        <v>8</v>
      </c>
      <c r="E490" t="n">
        <v>1</v>
      </c>
      <c r="F490" t="n">
        <v>15428</v>
      </c>
      <c r="G490" t="n">
        <v>0</v>
      </c>
      <c r="H490" t="n">
        <v>8560</v>
      </c>
      <c r="I490" t="n">
        <v>0</v>
      </c>
      <c r="J490" t="n">
        <v>8560</v>
      </c>
      <c r="K490" t="n">
        <v>0</v>
      </c>
      <c r="L490">
        <f>MIN(F490,J490)</f>
        <v/>
      </c>
      <c r="M490">
        <f>MIN(K490,MAX(0,F490-(J490-K490)))</f>
        <v/>
      </c>
    </row>
    <row r="491">
      <c r="A491" t="inlineStr">
        <is>
          <t>CLOUDLINE-DC</t>
        </is>
      </c>
      <c r="B491" t="inlineStr">
        <is>
          <t>2026-10-12</t>
        </is>
      </c>
      <c r="C491" t="n">
        <v>7</v>
      </c>
      <c r="D491" t="n">
        <v>9</v>
      </c>
      <c r="E491" t="n">
        <v>1</v>
      </c>
      <c r="F491" t="n">
        <v>14538</v>
      </c>
      <c r="G491" t="n">
        <v>0</v>
      </c>
      <c r="H491" t="n">
        <v>7559</v>
      </c>
      <c r="I491" t="n">
        <v>0</v>
      </c>
      <c r="J491" t="n">
        <v>7559</v>
      </c>
      <c r="K491" t="n">
        <v>0</v>
      </c>
      <c r="L491">
        <f>MIN(F491,J491)</f>
        <v/>
      </c>
      <c r="M491">
        <f>MIN(K491,MAX(0,F491-(J491-K491)))</f>
        <v/>
      </c>
    </row>
    <row r="492">
      <c r="A492" t="inlineStr">
        <is>
          <t>CLOUDLINE-DC</t>
        </is>
      </c>
      <c r="B492" t="inlineStr">
        <is>
          <t>2026-10-12</t>
        </is>
      </c>
      <c r="C492" t="n">
        <v>7</v>
      </c>
      <c r="D492" t="n">
        <v>10</v>
      </c>
      <c r="E492" t="n">
        <v>1</v>
      </c>
      <c r="F492" t="n">
        <v>15131</v>
      </c>
      <c r="G492" t="n">
        <v>0</v>
      </c>
      <c r="H492" t="n">
        <v>6532</v>
      </c>
      <c r="I492" t="n">
        <v>0</v>
      </c>
      <c r="J492" t="n">
        <v>6532</v>
      </c>
      <c r="K492" t="n">
        <v>0</v>
      </c>
      <c r="L492">
        <f>MIN(F492,J492)</f>
        <v/>
      </c>
      <c r="M492">
        <f>MIN(K492,MAX(0,F492-(J492-K492)))</f>
        <v/>
      </c>
    </row>
    <row r="493">
      <c r="A493" t="inlineStr">
        <is>
          <t>CLOUDLINE-DC</t>
        </is>
      </c>
      <c r="B493" t="inlineStr">
        <is>
          <t>2026-10-12</t>
        </is>
      </c>
      <c r="C493" t="n">
        <v>7</v>
      </c>
      <c r="D493" t="n">
        <v>11</v>
      </c>
      <c r="E493" t="n">
        <v>1</v>
      </c>
      <c r="F493" t="n">
        <v>14241</v>
      </c>
      <c r="G493" t="n">
        <v>0</v>
      </c>
      <c r="H493" t="n">
        <v>5664</v>
      </c>
      <c r="I493" t="n">
        <v>0</v>
      </c>
      <c r="J493" t="n">
        <v>5664</v>
      </c>
      <c r="K493" t="n">
        <v>0</v>
      </c>
      <c r="L493">
        <f>MIN(F493,J493)</f>
        <v/>
      </c>
      <c r="M493">
        <f>MIN(K493,MAX(0,F493-(J493-K493)))</f>
        <v/>
      </c>
    </row>
    <row r="494">
      <c r="A494" t="inlineStr">
        <is>
          <t>CLOUDLINE-DC</t>
        </is>
      </c>
      <c r="B494" t="inlineStr">
        <is>
          <t>2026-10-12</t>
        </is>
      </c>
      <c r="C494" t="n">
        <v>7</v>
      </c>
      <c r="D494" t="n">
        <v>12</v>
      </c>
      <c r="E494" t="n">
        <v>1</v>
      </c>
      <c r="F494" t="n">
        <v>14834</v>
      </c>
      <c r="G494" t="n">
        <v>0</v>
      </c>
      <c r="H494" t="n">
        <v>5819</v>
      </c>
      <c r="I494" t="n">
        <v>0</v>
      </c>
      <c r="J494" t="n">
        <v>5819</v>
      </c>
      <c r="K494" t="n">
        <v>0</v>
      </c>
      <c r="L494">
        <f>MIN(F494,J494)</f>
        <v/>
      </c>
      <c r="M494">
        <f>MIN(K494,MAX(0,F494-(J494-K494)))</f>
        <v/>
      </c>
    </row>
    <row r="495">
      <c r="A495" t="inlineStr">
        <is>
          <t>CLOUDLINE-DC</t>
        </is>
      </c>
      <c r="B495" t="inlineStr">
        <is>
          <t>2026-10-12</t>
        </is>
      </c>
      <c r="C495" t="n">
        <v>7</v>
      </c>
      <c r="D495" t="n">
        <v>13</v>
      </c>
      <c r="E495" t="n">
        <v>1</v>
      </c>
      <c r="F495" t="n">
        <v>15428</v>
      </c>
      <c r="G495" t="n">
        <v>0</v>
      </c>
      <c r="H495" t="n">
        <v>6724</v>
      </c>
      <c r="I495" t="n">
        <v>0</v>
      </c>
      <c r="J495" t="n">
        <v>6724</v>
      </c>
      <c r="K495" t="n">
        <v>0</v>
      </c>
      <c r="L495">
        <f>MIN(F495,J495)</f>
        <v/>
      </c>
      <c r="M495">
        <f>MIN(K495,MAX(0,F495-(J495-K495)))</f>
        <v/>
      </c>
    </row>
    <row r="496">
      <c r="A496" t="inlineStr">
        <is>
          <t>CLOUDLINE-DC</t>
        </is>
      </c>
      <c r="B496" t="inlineStr">
        <is>
          <t>2026-10-12</t>
        </is>
      </c>
      <c r="C496" t="n">
        <v>7</v>
      </c>
      <c r="D496" t="n">
        <v>14</v>
      </c>
      <c r="E496" t="n">
        <v>1</v>
      </c>
      <c r="F496" t="n">
        <v>14538</v>
      </c>
      <c r="G496" t="n">
        <v>0</v>
      </c>
      <c r="H496" t="n">
        <v>7905</v>
      </c>
      <c r="I496" t="n">
        <v>0</v>
      </c>
      <c r="J496" t="n">
        <v>7905</v>
      </c>
      <c r="K496" t="n">
        <v>0</v>
      </c>
      <c r="L496">
        <f>MIN(F496,J496)</f>
        <v/>
      </c>
      <c r="M496">
        <f>MIN(K496,MAX(0,F496-(J496-K496)))</f>
        <v/>
      </c>
    </row>
    <row r="497">
      <c r="A497" t="inlineStr">
        <is>
          <t>CLOUDLINE-DC</t>
        </is>
      </c>
      <c r="B497" t="inlineStr">
        <is>
          <t>2026-10-12</t>
        </is>
      </c>
      <c r="C497" t="n">
        <v>7</v>
      </c>
      <c r="D497" t="n">
        <v>15</v>
      </c>
      <c r="E497" t="n">
        <v>1</v>
      </c>
      <c r="F497" t="n">
        <v>15131</v>
      </c>
      <c r="G497" t="n">
        <v>0</v>
      </c>
      <c r="H497" t="n">
        <v>8919</v>
      </c>
      <c r="I497" t="n">
        <v>0</v>
      </c>
      <c r="J497" t="n">
        <v>8919</v>
      </c>
      <c r="K497" t="n">
        <v>0</v>
      </c>
      <c r="L497">
        <f>MIN(F497,J497)</f>
        <v/>
      </c>
      <c r="M497">
        <f>MIN(K497,MAX(0,F497-(J497-K497)))</f>
        <v/>
      </c>
    </row>
    <row r="498">
      <c r="A498" t="inlineStr">
        <is>
          <t>CLOUDLINE-DC</t>
        </is>
      </c>
      <c r="B498" t="inlineStr">
        <is>
          <t>2026-10-12</t>
        </is>
      </c>
      <c r="C498" t="n">
        <v>7</v>
      </c>
      <c r="D498" t="n">
        <v>16</v>
      </c>
      <c r="E498" t="n">
        <v>1</v>
      </c>
      <c r="F498" t="n">
        <v>14241</v>
      </c>
      <c r="G498" t="n">
        <v>0</v>
      </c>
      <c r="H498" t="n">
        <v>9770</v>
      </c>
      <c r="I498" t="n">
        <v>0</v>
      </c>
      <c r="J498" t="n">
        <v>9770</v>
      </c>
      <c r="K498" t="n">
        <v>0</v>
      </c>
      <c r="L498">
        <f>MIN(F498,J498)</f>
        <v/>
      </c>
      <c r="M498">
        <f>MIN(K498,MAX(0,F498-(J498-K498)))</f>
        <v/>
      </c>
    </row>
    <row r="499">
      <c r="A499" t="inlineStr">
        <is>
          <t>CLOUDLINE-DC</t>
        </is>
      </c>
      <c r="B499" t="inlineStr">
        <is>
          <t>2026-10-12</t>
        </is>
      </c>
      <c r="C499" t="n">
        <v>7</v>
      </c>
      <c r="D499" t="n">
        <v>17</v>
      </c>
      <c r="E499" t="n">
        <v>1</v>
      </c>
      <c r="F499" t="n">
        <v>14834</v>
      </c>
      <c r="G499" t="n">
        <v>0</v>
      </c>
      <c r="H499" t="n">
        <v>9215</v>
      </c>
      <c r="I499" t="n">
        <v>0</v>
      </c>
      <c r="J499" t="n">
        <v>9215</v>
      </c>
      <c r="K499" t="n">
        <v>0</v>
      </c>
      <c r="L499">
        <f>MIN(F499,J499)</f>
        <v/>
      </c>
      <c r="M499">
        <f>MIN(K499,MAX(0,F499-(J499-K499)))</f>
        <v/>
      </c>
    </row>
    <row r="500">
      <c r="A500" t="inlineStr">
        <is>
          <t>CLOUDLINE-DC</t>
        </is>
      </c>
      <c r="B500" t="inlineStr">
        <is>
          <t>2026-10-12</t>
        </is>
      </c>
      <c r="C500" t="n">
        <v>7</v>
      </c>
      <c r="D500" t="n">
        <v>18</v>
      </c>
      <c r="E500" t="n">
        <v>1</v>
      </c>
      <c r="F500" t="n">
        <v>15428</v>
      </c>
      <c r="G500" t="n">
        <v>0</v>
      </c>
      <c r="H500" t="n">
        <v>8461</v>
      </c>
      <c r="I500" t="n">
        <v>0</v>
      </c>
      <c r="J500" t="n">
        <v>8461</v>
      </c>
      <c r="K500" t="n">
        <v>0</v>
      </c>
      <c r="L500">
        <f>MIN(F500,J500)</f>
        <v/>
      </c>
      <c r="M500">
        <f>MIN(K500,MAX(0,F500-(J500-K500)))</f>
        <v/>
      </c>
    </row>
    <row r="501">
      <c r="A501" t="inlineStr">
        <is>
          <t>CLOUDLINE-DC</t>
        </is>
      </c>
      <c r="B501" t="inlineStr">
        <is>
          <t>2026-10-12</t>
        </is>
      </c>
      <c r="C501" t="n">
        <v>7</v>
      </c>
      <c r="D501" t="n">
        <v>19</v>
      </c>
      <c r="E501" t="n">
        <v>1</v>
      </c>
      <c r="F501" t="n">
        <v>14538</v>
      </c>
      <c r="G501" t="n">
        <v>0</v>
      </c>
      <c r="H501" t="n">
        <v>7136</v>
      </c>
      <c r="I501" t="n">
        <v>0</v>
      </c>
      <c r="J501" t="n">
        <v>7136</v>
      </c>
      <c r="K501" t="n">
        <v>0</v>
      </c>
      <c r="L501">
        <f>MIN(F501,J501)</f>
        <v/>
      </c>
      <c r="M501">
        <f>MIN(K501,MAX(0,F501-(J501-K501)))</f>
        <v/>
      </c>
    </row>
    <row r="502">
      <c r="A502" t="inlineStr">
        <is>
          <t>CLOUDLINE-DC</t>
        </is>
      </c>
      <c r="B502" t="inlineStr">
        <is>
          <t>2026-10-12</t>
        </is>
      </c>
      <c r="C502" t="n">
        <v>7</v>
      </c>
      <c r="D502" t="n">
        <v>20</v>
      </c>
      <c r="E502" t="n">
        <v>1</v>
      </c>
      <c r="F502" t="n">
        <v>15131</v>
      </c>
      <c r="G502" t="n">
        <v>0</v>
      </c>
      <c r="H502" t="n">
        <v>5264</v>
      </c>
      <c r="I502" t="n">
        <v>0</v>
      </c>
      <c r="J502" t="n">
        <v>5264</v>
      </c>
      <c r="K502" t="n">
        <v>0</v>
      </c>
      <c r="L502">
        <f>MIN(F502,J502)</f>
        <v/>
      </c>
      <c r="M502">
        <f>MIN(K502,MAX(0,F502-(J502-K502)))</f>
        <v/>
      </c>
    </row>
    <row r="503">
      <c r="A503" t="inlineStr">
        <is>
          <t>CLOUDLINE-DC</t>
        </is>
      </c>
      <c r="B503" t="inlineStr">
        <is>
          <t>2026-10-12</t>
        </is>
      </c>
      <c r="C503" t="n">
        <v>7</v>
      </c>
      <c r="D503" t="n">
        <v>21</v>
      </c>
      <c r="E503" t="n">
        <v>1</v>
      </c>
      <c r="F503" t="n">
        <v>14241</v>
      </c>
      <c r="G503" t="n">
        <v>0</v>
      </c>
      <c r="H503" t="n">
        <v>3556</v>
      </c>
      <c r="I503" t="n">
        <v>0</v>
      </c>
      <c r="J503" t="n">
        <v>3556</v>
      </c>
      <c r="K503" t="n">
        <v>0</v>
      </c>
      <c r="L503">
        <f>MIN(F503,J503)</f>
        <v/>
      </c>
      <c r="M503">
        <f>MIN(K503,MAX(0,F503-(J503-K503)))</f>
        <v/>
      </c>
    </row>
    <row r="504">
      <c r="A504" t="inlineStr">
        <is>
          <t>CLOUDLINE-DC</t>
        </is>
      </c>
      <c r="B504" t="inlineStr">
        <is>
          <t>2026-10-12</t>
        </is>
      </c>
      <c r="C504" t="n">
        <v>7</v>
      </c>
      <c r="D504" t="n">
        <v>22</v>
      </c>
      <c r="E504" t="n">
        <v>1</v>
      </c>
      <c r="F504" t="n">
        <v>14834</v>
      </c>
      <c r="G504" t="n">
        <v>0</v>
      </c>
      <c r="H504" t="n">
        <v>2217</v>
      </c>
      <c r="I504" t="n">
        <v>0</v>
      </c>
      <c r="J504" t="n">
        <v>2217</v>
      </c>
      <c r="K504" t="n">
        <v>0</v>
      </c>
      <c r="L504">
        <f>MIN(F504,J504)</f>
        <v/>
      </c>
      <c r="M504">
        <f>MIN(K504,MAX(0,F504-(J504-K504)))</f>
        <v/>
      </c>
    </row>
    <row r="505">
      <c r="A505" t="inlineStr">
        <is>
          <t>CLOUDLINE-DC</t>
        </is>
      </c>
      <c r="B505" t="inlineStr">
        <is>
          <t>2026-10-12</t>
        </is>
      </c>
      <c r="C505" t="n">
        <v>7</v>
      </c>
      <c r="D505" t="n">
        <v>23</v>
      </c>
      <c r="E505" t="n">
        <v>1</v>
      </c>
      <c r="F505" t="n">
        <v>15428</v>
      </c>
      <c r="G505" t="n">
        <v>0</v>
      </c>
      <c r="H505" t="n">
        <v>1546</v>
      </c>
      <c r="I505" t="n">
        <v>0</v>
      </c>
      <c r="J505" t="n">
        <v>1546</v>
      </c>
      <c r="K505" t="n">
        <v>0</v>
      </c>
      <c r="L505">
        <f>MIN(F505,J505)</f>
        <v/>
      </c>
      <c r="M505">
        <f>MIN(K505,MAX(0,F505-(J505-K505)))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company</t>
        </is>
      </c>
      <c r="D1" s="1" t="inlineStr">
        <is>
          <t>day_from</t>
        </is>
      </c>
      <c r="E1" s="1" t="inlineStr">
        <is>
          <t>day_to</t>
        </is>
      </c>
      <c r="F1" s="1" t="inlineStr">
        <is>
          <t>hour_from</t>
        </is>
      </c>
      <c r="G1" s="1" t="inlineStr">
        <is>
          <t>hour_to</t>
        </is>
      </c>
      <c r="H1" s="1" t="inlineStr">
        <is>
          <t>weekdays_only</t>
        </is>
      </c>
      <c r="I1" s="1" t="inlineStr">
        <is>
          <t>claimed_pct</t>
        </is>
      </c>
      <c r="J1" s="1" t="inlineStr">
        <is>
          <t>basis</t>
        </is>
      </c>
      <c r="K1" s="1" t="inlineStr">
        <is>
          <t>re100</t>
        </is>
      </c>
      <c r="L1" s="1" t="inlineStr">
        <is>
          <t>truth</t>
        </is>
      </c>
      <c r="M1" s="1" t="inlineStr">
        <is>
          <t>use_kwh</t>
        </is>
      </c>
      <c r="N1" s="1" t="inlineStr">
        <is>
          <t>matched_kwh</t>
        </is>
      </c>
      <c r="O1" s="1" t="inlineStr">
        <is>
          <t>certs_kwh</t>
        </is>
      </c>
      <c r="P1" s="1" t="inlineStr">
        <is>
          <t>old_matched_kwh</t>
        </is>
      </c>
      <c r="Q1" s="1" t="inlineStr">
        <is>
          <t>old_certs_kwh</t>
        </is>
      </c>
      <c r="R1" s="1" t="inlineStr">
        <is>
          <t>hourly_bps</t>
        </is>
      </c>
      <c r="S1" s="1" t="inlineStr">
        <is>
          <t>volume_bps</t>
        </is>
      </c>
      <c r="T1" s="1" t="inlineStr">
        <is>
          <t>share_bps</t>
        </is>
      </c>
      <c r="U1" s="1" t="inlineStr">
        <is>
          <t>verdict</t>
        </is>
      </c>
      <c r="V1" s="1" t="inlineStr">
        <is>
          <t>agrees_with_truth</t>
        </is>
      </c>
    </row>
    <row r="2">
      <c r="A2" t="inlineStr">
        <is>
          <t>D01</t>
        </is>
      </c>
      <c r="B2" t="inlineStr">
        <is>
          <t>Northbay Fab ran on 100% renewable electricity this week.</t>
        </is>
      </c>
      <c r="C2" t="inlineStr">
        <is>
          <t>NORTHBAY-FAB</t>
        </is>
      </c>
      <c r="D2" t="n">
        <v>1</v>
      </c>
      <c r="E2" t="n">
        <v>7</v>
      </c>
      <c r="F2" t="n">
        <v>0</v>
      </c>
      <c r="G2" t="n">
        <v>24</v>
      </c>
      <c r="H2" t="n">
        <v>0</v>
      </c>
      <c r="I2" t="n">
        <v>100</v>
      </c>
      <c r="J2" t="inlineStr">
        <is>
          <t>hourly</t>
        </is>
      </c>
      <c r="K2" t="n">
        <v>0</v>
      </c>
      <c r="L2" t="inlineStr">
        <is>
          <t>NOT_SUPPORTED</t>
        </is>
      </c>
      <c r="M2">
        <f>SUMPRODUCT((data_dev!$A$2:$A$505=$C2)*(data_dev!$C$2:$C$505&gt;=$D2)*(data_dev!$C$2:$C$505&lt;=$E2)*(data_dev!$D$2:$D$505&gt;=$F2)*(data_dev!$D$2:$D$505&lt;$G2)*((($H2=0)+(data_dev!$E$2:$E$505&lt;=5))&gt;0)*data_dev!$F$2:$F$505)</f>
        <v/>
      </c>
      <c r="N2">
        <f>SUMPRODUCT((data_dev!$A$2:$A$505=$C2)*(data_dev!$C$2:$C$505&gt;=$D2)*(data_dev!$C$2:$C$505&lt;=$E2)*(data_dev!$D$2:$D$505&gt;=$F2)*(data_dev!$D$2:$D$505&lt;$G2)*((($H2=0)+(data_dev!$E$2:$E$505&lt;=5))&gt;0)*data_dev!$L$2:$L$505)</f>
        <v/>
      </c>
      <c r="O2">
        <f>SUMPRODUCT((data_dev!$A$2:$A$505=$C2)*(data_dev!$C$2:$C$505&gt;=$D2)*(data_dev!$C$2:$C$505&lt;=$E2)*(data_dev!$D$2:$D$505&gt;=$F2)*(data_dev!$D$2:$D$505&lt;$G2)*((($H2=0)+(data_dev!$E$2:$E$505&lt;=5))&gt;0)*data_dev!$J$2:$J$505)</f>
        <v/>
      </c>
      <c r="P2">
        <f>SUMPRODUCT((data_dev!$A$2:$A$505=$C2)*(data_dev!$C$2:$C$505&gt;=$D2)*(data_dev!$C$2:$C$505&lt;=$E2)*(data_dev!$D$2:$D$505&gt;=$F2)*(data_dev!$D$2:$D$505&lt;$G2)*((($H2=0)+(data_dev!$E$2:$E$505&lt;=5))&gt;0)*data_dev!$M$2:$M$505)</f>
        <v/>
      </c>
      <c r="Q2">
        <f>SUMPRODUCT((data_dev!$A$2:$A$505=$C2)*(data_dev!$C$2:$C$505&gt;=$D2)*(data_dev!$C$2:$C$505&lt;=$E2)*(data_dev!$D$2:$D$505&gt;=$F2)*(data_dev!$D$2:$D$505&lt;$G2)*((($H2=0)+(data_dev!$E$2:$E$505&lt;=5))&gt;0)*data_dev!$K$2:$K$505)</f>
        <v/>
      </c>
      <c r="R2">
        <f>INT(N2*10000/M2)</f>
        <v/>
      </c>
      <c r="S2">
        <f>INT(O2*10000/M2)</f>
        <v/>
      </c>
      <c r="T2">
        <f>IF(K2=1,IF(J2="volume",INT((O2-MAX(0,Q2-INT(M2*0.15)))*10000/M2),INT((N2-MAX(0,P2-INT(M2*0.15)))*10000/M2)),IF(J2="volume",S2,R2))</f>
        <v/>
      </c>
      <c r="U2">
        <f>IF(AND(ROUND(I2*100,0)&lt;=IF(J2="volume",S2,R2)+50,ROUND(I2*100,0)&lt;=T2+50),"SUPPORTED","NOT_SUPPORTED")</f>
        <v/>
      </c>
      <c r="V2">
        <f>U2=L2</f>
        <v/>
      </c>
    </row>
    <row r="3">
      <c r="A3" t="inlineStr">
        <is>
          <t>D02</t>
        </is>
      </c>
      <c r="B3" t="inlineStr">
        <is>
          <t>Renewable energy certificates purchased by Northbay Fab covered 100% of its electricity consumption this week.</t>
        </is>
      </c>
      <c r="C3" t="inlineStr">
        <is>
          <t>NORTHBAY-FAB</t>
        </is>
      </c>
      <c r="D3" t="n">
        <v>1</v>
      </c>
      <c r="E3" t="n">
        <v>7</v>
      </c>
      <c r="F3" t="n">
        <v>0</v>
      </c>
      <c r="G3" t="n">
        <v>24</v>
      </c>
      <c r="H3" t="n">
        <v>0</v>
      </c>
      <c r="I3" t="n">
        <v>100</v>
      </c>
      <c r="J3" t="inlineStr">
        <is>
          <t>volume</t>
        </is>
      </c>
      <c r="K3" t="n">
        <v>0</v>
      </c>
      <c r="L3" t="inlineStr">
        <is>
          <t>SUPPORTED</t>
        </is>
      </c>
      <c r="M3">
        <f>SUMPRODUCT((data_dev!$A$2:$A$505=$C3)*(data_dev!$C$2:$C$505&gt;=$D3)*(data_dev!$C$2:$C$505&lt;=$E3)*(data_dev!$D$2:$D$505&gt;=$F3)*(data_dev!$D$2:$D$505&lt;$G3)*((($H3=0)+(data_dev!$E$2:$E$505&lt;=5))&gt;0)*data_dev!$F$2:$F$505)</f>
        <v/>
      </c>
      <c r="N3">
        <f>SUMPRODUCT((data_dev!$A$2:$A$505=$C3)*(data_dev!$C$2:$C$505&gt;=$D3)*(data_dev!$C$2:$C$505&lt;=$E3)*(data_dev!$D$2:$D$505&gt;=$F3)*(data_dev!$D$2:$D$505&lt;$G3)*((($H3=0)+(data_dev!$E$2:$E$505&lt;=5))&gt;0)*data_dev!$L$2:$L$505)</f>
        <v/>
      </c>
      <c r="O3">
        <f>SUMPRODUCT((data_dev!$A$2:$A$505=$C3)*(data_dev!$C$2:$C$505&gt;=$D3)*(data_dev!$C$2:$C$505&lt;=$E3)*(data_dev!$D$2:$D$505&gt;=$F3)*(data_dev!$D$2:$D$505&lt;$G3)*((($H3=0)+(data_dev!$E$2:$E$505&lt;=5))&gt;0)*data_dev!$J$2:$J$505)</f>
        <v/>
      </c>
      <c r="P3">
        <f>SUMPRODUCT((data_dev!$A$2:$A$505=$C3)*(data_dev!$C$2:$C$505&gt;=$D3)*(data_dev!$C$2:$C$505&lt;=$E3)*(data_dev!$D$2:$D$505&gt;=$F3)*(data_dev!$D$2:$D$505&lt;$G3)*((($H3=0)+(data_dev!$E$2:$E$505&lt;=5))&gt;0)*data_dev!$M$2:$M$505)</f>
        <v/>
      </c>
      <c r="Q3">
        <f>SUMPRODUCT((data_dev!$A$2:$A$505=$C3)*(data_dev!$C$2:$C$505&gt;=$D3)*(data_dev!$C$2:$C$505&lt;=$E3)*(data_dev!$D$2:$D$505&gt;=$F3)*(data_dev!$D$2:$D$505&lt;$G3)*((($H3=0)+(data_dev!$E$2:$E$505&lt;=5))&gt;0)*data_dev!$K$2:$K$505)</f>
        <v/>
      </c>
      <c r="R3">
        <f>INT(N3*10000/M3)</f>
        <v/>
      </c>
      <c r="S3">
        <f>INT(O3*10000/M3)</f>
        <v/>
      </c>
      <c r="T3">
        <f>IF(K3=1,IF(J3="volume",INT((O3-MAX(0,Q3-INT(M3*0.15)))*10000/M3),INT((N3-MAX(0,P3-INT(M3*0.15)))*10000/M3)),IF(J3="volume",S3,R3))</f>
        <v/>
      </c>
      <c r="U3">
        <f>IF(AND(ROUND(I3*100,0)&lt;=IF(J3="volume",S3,R3)+50,ROUND(I3*100,0)&lt;=T3+50),"SUPPORTED","NOT_SUPPORTED")</f>
        <v/>
      </c>
      <c r="V3">
        <f>U3=L3</f>
        <v/>
      </c>
    </row>
    <row r="4">
      <c r="A4" t="inlineStr">
        <is>
          <t>D03</t>
        </is>
      </c>
      <c r="B4" t="inlineStr">
        <is>
          <t>Northbay Fab matched 83% of its electricity with renewable energy hour by hour this week.</t>
        </is>
      </c>
      <c r="C4" t="inlineStr">
        <is>
          <t>NORTHBAY-FAB</t>
        </is>
      </c>
      <c r="D4" t="n">
        <v>1</v>
      </c>
      <c r="E4" t="n">
        <v>7</v>
      </c>
      <c r="F4" t="n">
        <v>0</v>
      </c>
      <c r="G4" t="n">
        <v>24</v>
      </c>
      <c r="H4" t="n">
        <v>0</v>
      </c>
      <c r="I4" t="n">
        <v>83</v>
      </c>
      <c r="J4" t="inlineStr">
        <is>
          <t>hourly</t>
        </is>
      </c>
      <c r="K4" t="n">
        <v>0</v>
      </c>
      <c r="L4" t="inlineStr">
        <is>
          <t>SUPPORTED</t>
        </is>
      </c>
      <c r="M4">
        <f>SUMPRODUCT((data_dev!$A$2:$A$505=$C4)*(data_dev!$C$2:$C$505&gt;=$D4)*(data_dev!$C$2:$C$505&lt;=$E4)*(data_dev!$D$2:$D$505&gt;=$F4)*(data_dev!$D$2:$D$505&lt;$G4)*((($H4=0)+(data_dev!$E$2:$E$505&lt;=5))&gt;0)*data_dev!$F$2:$F$505)</f>
        <v/>
      </c>
      <c r="N4">
        <f>SUMPRODUCT((data_dev!$A$2:$A$505=$C4)*(data_dev!$C$2:$C$505&gt;=$D4)*(data_dev!$C$2:$C$505&lt;=$E4)*(data_dev!$D$2:$D$505&gt;=$F4)*(data_dev!$D$2:$D$505&lt;$G4)*((($H4=0)+(data_dev!$E$2:$E$505&lt;=5))&gt;0)*data_dev!$L$2:$L$505)</f>
        <v/>
      </c>
      <c r="O4">
        <f>SUMPRODUCT((data_dev!$A$2:$A$505=$C4)*(data_dev!$C$2:$C$505&gt;=$D4)*(data_dev!$C$2:$C$505&lt;=$E4)*(data_dev!$D$2:$D$505&gt;=$F4)*(data_dev!$D$2:$D$505&lt;$G4)*((($H4=0)+(data_dev!$E$2:$E$505&lt;=5))&gt;0)*data_dev!$J$2:$J$505)</f>
        <v/>
      </c>
      <c r="P4">
        <f>SUMPRODUCT((data_dev!$A$2:$A$505=$C4)*(data_dev!$C$2:$C$505&gt;=$D4)*(data_dev!$C$2:$C$505&lt;=$E4)*(data_dev!$D$2:$D$505&gt;=$F4)*(data_dev!$D$2:$D$505&lt;$G4)*((($H4=0)+(data_dev!$E$2:$E$505&lt;=5))&gt;0)*data_dev!$M$2:$M$505)</f>
        <v/>
      </c>
      <c r="Q4">
        <f>SUMPRODUCT((data_dev!$A$2:$A$505=$C4)*(data_dev!$C$2:$C$505&gt;=$D4)*(data_dev!$C$2:$C$505&lt;=$E4)*(data_dev!$D$2:$D$505&gt;=$F4)*(data_dev!$D$2:$D$505&lt;$G4)*((($H4=0)+(data_dev!$E$2:$E$505&lt;=5))&gt;0)*data_dev!$K$2:$K$505)</f>
        <v/>
      </c>
      <c r="R4">
        <f>INT(N4*10000/M4)</f>
        <v/>
      </c>
      <c r="S4">
        <f>INT(O4*10000/M4)</f>
        <v/>
      </c>
      <c r="T4">
        <f>IF(K4=1,IF(J4="volume",INT((O4-MAX(0,Q4-INT(M4*0.15)))*10000/M4),INT((N4-MAX(0,P4-INT(M4*0.15)))*10000/M4)),IF(J4="volume",S4,R4))</f>
        <v/>
      </c>
      <c r="U4">
        <f>IF(AND(ROUND(I4*100,0)&lt;=IF(J4="volume",S4,R4)+50,ROUND(I4*100,0)&lt;=T4+50),"SUPPORTED","NOT_SUPPORTED")</f>
        <v/>
      </c>
      <c r="V4">
        <f>U4=L4</f>
        <v/>
      </c>
    </row>
    <row r="5">
      <c r="A5" t="inlineStr">
        <is>
          <t>D04</t>
        </is>
      </c>
      <c r="B5" t="inlineStr">
        <is>
          <t>Northbay Fab matched 95% of its electricity with renewable energy hour by hour this week.</t>
        </is>
      </c>
      <c r="C5" t="inlineStr">
        <is>
          <t>NORTHBAY-FAB</t>
        </is>
      </c>
      <c r="D5" t="n">
        <v>1</v>
      </c>
      <c r="E5" t="n">
        <v>7</v>
      </c>
      <c r="F5" t="n">
        <v>0</v>
      </c>
      <c r="G5" t="n">
        <v>24</v>
      </c>
      <c r="H5" t="n">
        <v>0</v>
      </c>
      <c r="I5" t="n">
        <v>95</v>
      </c>
      <c r="J5" t="inlineStr">
        <is>
          <t>hourly</t>
        </is>
      </c>
      <c r="K5" t="n">
        <v>0</v>
      </c>
      <c r="L5" t="inlineStr">
        <is>
          <t>NOT_SUPPORTED</t>
        </is>
      </c>
      <c r="M5">
        <f>SUMPRODUCT((data_dev!$A$2:$A$505=$C5)*(data_dev!$C$2:$C$505&gt;=$D5)*(data_dev!$C$2:$C$505&lt;=$E5)*(data_dev!$D$2:$D$505&gt;=$F5)*(data_dev!$D$2:$D$505&lt;$G5)*((($H5=0)+(data_dev!$E$2:$E$505&lt;=5))&gt;0)*data_dev!$F$2:$F$505)</f>
        <v/>
      </c>
      <c r="N5">
        <f>SUMPRODUCT((data_dev!$A$2:$A$505=$C5)*(data_dev!$C$2:$C$505&gt;=$D5)*(data_dev!$C$2:$C$505&lt;=$E5)*(data_dev!$D$2:$D$505&gt;=$F5)*(data_dev!$D$2:$D$505&lt;$G5)*((($H5=0)+(data_dev!$E$2:$E$505&lt;=5))&gt;0)*data_dev!$L$2:$L$505)</f>
        <v/>
      </c>
      <c r="O5">
        <f>SUMPRODUCT((data_dev!$A$2:$A$505=$C5)*(data_dev!$C$2:$C$505&gt;=$D5)*(data_dev!$C$2:$C$505&lt;=$E5)*(data_dev!$D$2:$D$505&gt;=$F5)*(data_dev!$D$2:$D$505&lt;$G5)*((($H5=0)+(data_dev!$E$2:$E$505&lt;=5))&gt;0)*data_dev!$J$2:$J$505)</f>
        <v/>
      </c>
      <c r="P5">
        <f>SUMPRODUCT((data_dev!$A$2:$A$505=$C5)*(data_dev!$C$2:$C$505&gt;=$D5)*(data_dev!$C$2:$C$505&lt;=$E5)*(data_dev!$D$2:$D$505&gt;=$F5)*(data_dev!$D$2:$D$505&lt;$G5)*((($H5=0)+(data_dev!$E$2:$E$505&lt;=5))&gt;0)*data_dev!$M$2:$M$505)</f>
        <v/>
      </c>
      <c r="Q5">
        <f>SUMPRODUCT((data_dev!$A$2:$A$505=$C5)*(data_dev!$C$2:$C$505&gt;=$D5)*(data_dev!$C$2:$C$505&lt;=$E5)*(data_dev!$D$2:$D$505&gt;=$F5)*(data_dev!$D$2:$D$505&lt;$G5)*((($H5=0)+(data_dev!$E$2:$E$505&lt;=5))&gt;0)*data_dev!$K$2:$K$505)</f>
        <v/>
      </c>
      <c r="R5">
        <f>INT(N5*10000/M5)</f>
        <v/>
      </c>
      <c r="S5">
        <f>INT(O5*10000/M5)</f>
        <v/>
      </c>
      <c r="T5">
        <f>IF(K5=1,IF(J5="volume",INT((O5-MAX(0,Q5-INT(M5*0.15)))*10000/M5),INT((N5-MAX(0,P5-INT(M5*0.15)))*10000/M5)),IF(J5="volume",S5,R5))</f>
        <v/>
      </c>
      <c r="U5">
        <f>IF(AND(ROUND(I5*100,0)&lt;=IF(J5="volume",S5,R5)+50,ROUND(I5*100,0)&lt;=T5+50),"SUPPORTED","NOT_SUPPORTED")</f>
        <v/>
      </c>
      <c r="V5">
        <f>U5=L5</f>
        <v/>
      </c>
    </row>
    <row r="6">
      <c r="A6" t="inlineStr">
        <is>
          <t>D05</t>
        </is>
      </c>
      <c r="B6" t="inlineStr">
        <is>
          <t>Northbay Fab was fully powered by renewables around the clock on 2026-10-08.</t>
        </is>
      </c>
      <c r="C6" t="inlineStr">
        <is>
          <t>NORTHBAY-FAB</t>
        </is>
      </c>
      <c r="D6" t="n">
        <v>3</v>
      </c>
      <c r="E6" t="n">
        <v>3</v>
      </c>
      <c r="F6" t="n">
        <v>0</v>
      </c>
      <c r="G6" t="n">
        <v>24</v>
      </c>
      <c r="H6" t="n">
        <v>0</v>
      </c>
      <c r="I6" t="n">
        <v>100</v>
      </c>
      <c r="J6" t="inlineStr">
        <is>
          <t>hourly</t>
        </is>
      </c>
      <c r="K6" t="n">
        <v>0</v>
      </c>
      <c r="L6" t="inlineStr">
        <is>
          <t>NOT_SUPPORTED</t>
        </is>
      </c>
      <c r="M6">
        <f>SUMPRODUCT((data_dev!$A$2:$A$505=$C6)*(data_dev!$C$2:$C$505&gt;=$D6)*(data_dev!$C$2:$C$505&lt;=$E6)*(data_dev!$D$2:$D$505&gt;=$F6)*(data_dev!$D$2:$D$505&lt;$G6)*((($H6=0)+(data_dev!$E$2:$E$505&lt;=5))&gt;0)*data_dev!$F$2:$F$505)</f>
        <v/>
      </c>
      <c r="N6">
        <f>SUMPRODUCT((data_dev!$A$2:$A$505=$C6)*(data_dev!$C$2:$C$505&gt;=$D6)*(data_dev!$C$2:$C$505&lt;=$E6)*(data_dev!$D$2:$D$505&gt;=$F6)*(data_dev!$D$2:$D$505&lt;$G6)*((($H6=0)+(data_dev!$E$2:$E$505&lt;=5))&gt;0)*data_dev!$L$2:$L$505)</f>
        <v/>
      </c>
      <c r="O6">
        <f>SUMPRODUCT((data_dev!$A$2:$A$505=$C6)*(data_dev!$C$2:$C$505&gt;=$D6)*(data_dev!$C$2:$C$505&lt;=$E6)*(data_dev!$D$2:$D$505&gt;=$F6)*(data_dev!$D$2:$D$505&lt;$G6)*((($H6=0)+(data_dev!$E$2:$E$505&lt;=5))&gt;0)*data_dev!$J$2:$J$505)</f>
        <v/>
      </c>
      <c r="P6">
        <f>SUMPRODUCT((data_dev!$A$2:$A$505=$C6)*(data_dev!$C$2:$C$505&gt;=$D6)*(data_dev!$C$2:$C$505&lt;=$E6)*(data_dev!$D$2:$D$505&gt;=$F6)*(data_dev!$D$2:$D$505&lt;$G6)*((($H6=0)+(data_dev!$E$2:$E$505&lt;=5))&gt;0)*data_dev!$M$2:$M$505)</f>
        <v/>
      </c>
      <c r="Q6">
        <f>SUMPRODUCT((data_dev!$A$2:$A$505=$C6)*(data_dev!$C$2:$C$505&gt;=$D6)*(data_dev!$C$2:$C$505&lt;=$E6)*(data_dev!$D$2:$D$505&gt;=$F6)*(data_dev!$D$2:$D$505&lt;$G6)*((($H6=0)+(data_dev!$E$2:$E$505&lt;=5))&gt;0)*data_dev!$K$2:$K$505)</f>
        <v/>
      </c>
      <c r="R6">
        <f>INT(N6*10000/M6)</f>
        <v/>
      </c>
      <c r="S6">
        <f>INT(O6*10000/M6)</f>
        <v/>
      </c>
      <c r="T6">
        <f>IF(K6=1,IF(J6="volume",INT((O6-MAX(0,Q6-INT(M6*0.15)))*10000/M6),INT((N6-MAX(0,P6-INT(M6*0.15)))*10000/M6)),IF(J6="volume",S6,R6))</f>
        <v/>
      </c>
      <c r="U6">
        <f>IF(AND(ROUND(I6*100,0)&lt;=IF(J6="volume",S6,R6)+50,ROUND(I6*100,0)&lt;=T6+50),"SUPPORTED","NOT_SUPPORTED")</f>
        <v/>
      </c>
      <c r="V6">
        <f>U6=L6</f>
        <v/>
      </c>
    </row>
    <row r="7">
      <c r="A7" t="inlineStr">
        <is>
          <t>D06</t>
        </is>
      </c>
      <c r="B7" t="inlineStr">
        <is>
          <t>Between 10:00 and 14:00 on 2026-10-07, every kWh used by Northbay Fab was renewable.</t>
        </is>
      </c>
      <c r="C7" t="inlineStr">
        <is>
          <t>NORTHBAY-FAB</t>
        </is>
      </c>
      <c r="D7" t="n">
        <v>2</v>
      </c>
      <c r="E7" t="n">
        <v>2</v>
      </c>
      <c r="F7" t="n">
        <v>10</v>
      </c>
      <c r="G7" t="n">
        <v>14</v>
      </c>
      <c r="H7" t="n">
        <v>0</v>
      </c>
      <c r="I7" t="n">
        <v>100</v>
      </c>
      <c r="J7" t="inlineStr">
        <is>
          <t>hourly</t>
        </is>
      </c>
      <c r="K7" t="n">
        <v>0</v>
      </c>
      <c r="L7" t="inlineStr">
        <is>
          <t>SUPPORTED</t>
        </is>
      </c>
      <c r="M7">
        <f>SUMPRODUCT((data_dev!$A$2:$A$505=$C7)*(data_dev!$C$2:$C$505&gt;=$D7)*(data_dev!$C$2:$C$505&lt;=$E7)*(data_dev!$D$2:$D$505&gt;=$F7)*(data_dev!$D$2:$D$505&lt;$G7)*((($H7=0)+(data_dev!$E$2:$E$505&lt;=5))&gt;0)*data_dev!$F$2:$F$505)</f>
        <v/>
      </c>
      <c r="N7">
        <f>SUMPRODUCT((data_dev!$A$2:$A$505=$C7)*(data_dev!$C$2:$C$505&gt;=$D7)*(data_dev!$C$2:$C$505&lt;=$E7)*(data_dev!$D$2:$D$505&gt;=$F7)*(data_dev!$D$2:$D$505&lt;$G7)*((($H7=0)+(data_dev!$E$2:$E$505&lt;=5))&gt;0)*data_dev!$L$2:$L$505)</f>
        <v/>
      </c>
      <c r="O7">
        <f>SUMPRODUCT((data_dev!$A$2:$A$505=$C7)*(data_dev!$C$2:$C$505&gt;=$D7)*(data_dev!$C$2:$C$505&lt;=$E7)*(data_dev!$D$2:$D$505&gt;=$F7)*(data_dev!$D$2:$D$505&lt;$G7)*((($H7=0)+(data_dev!$E$2:$E$505&lt;=5))&gt;0)*data_dev!$J$2:$J$505)</f>
        <v/>
      </c>
      <c r="P7">
        <f>SUMPRODUCT((data_dev!$A$2:$A$505=$C7)*(data_dev!$C$2:$C$505&gt;=$D7)*(data_dev!$C$2:$C$505&lt;=$E7)*(data_dev!$D$2:$D$505&gt;=$F7)*(data_dev!$D$2:$D$505&lt;$G7)*((($H7=0)+(data_dev!$E$2:$E$505&lt;=5))&gt;0)*data_dev!$M$2:$M$505)</f>
        <v/>
      </c>
      <c r="Q7">
        <f>SUMPRODUCT((data_dev!$A$2:$A$505=$C7)*(data_dev!$C$2:$C$505&gt;=$D7)*(data_dev!$C$2:$C$505&lt;=$E7)*(data_dev!$D$2:$D$505&gt;=$F7)*(data_dev!$D$2:$D$505&lt;$G7)*((($H7=0)+(data_dev!$E$2:$E$505&lt;=5))&gt;0)*data_dev!$K$2:$K$505)</f>
        <v/>
      </c>
      <c r="R7">
        <f>INT(N7*10000/M7)</f>
        <v/>
      </c>
      <c r="S7">
        <f>INT(O7*10000/M7)</f>
        <v/>
      </c>
      <c r="T7">
        <f>IF(K7=1,IF(J7="volume",INT((O7-MAX(0,Q7-INT(M7*0.15)))*10000/M7),INT((N7-MAX(0,P7-INT(M7*0.15)))*10000/M7)),IF(J7="volume",S7,R7))</f>
        <v/>
      </c>
      <c r="U7">
        <f>IF(AND(ROUND(I7*100,0)&lt;=IF(J7="volume",S7,R7)+50,ROUND(I7*100,0)&lt;=T7+50),"SUPPORTED","NOT_SUPPORTED")</f>
        <v/>
      </c>
      <c r="V7">
        <f>U7=L7</f>
        <v/>
      </c>
    </row>
    <row r="8">
      <c r="A8" t="inlineStr">
        <is>
          <t>D07</t>
        </is>
      </c>
      <c r="B8" t="inlineStr">
        <is>
          <t>Northbay Fab's night shift (00:00 to 06:00) on 2026-10-09 ran on 100% solar and wind power.</t>
        </is>
      </c>
      <c r="C8" t="inlineStr">
        <is>
          <t>NORTHBAY-FAB</t>
        </is>
      </c>
      <c r="D8" t="n">
        <v>4</v>
      </c>
      <c r="E8" t="n">
        <v>4</v>
      </c>
      <c r="F8" t="n">
        <v>0</v>
      </c>
      <c r="G8" t="n">
        <v>6</v>
      </c>
      <c r="H8" t="n">
        <v>0</v>
      </c>
      <c r="I8" t="n">
        <v>100</v>
      </c>
      <c r="J8" t="inlineStr">
        <is>
          <t>hourly</t>
        </is>
      </c>
      <c r="K8" t="n">
        <v>0</v>
      </c>
      <c r="L8" t="inlineStr">
        <is>
          <t>NOT_SUPPORTED</t>
        </is>
      </c>
      <c r="M8">
        <f>SUMPRODUCT((data_dev!$A$2:$A$505=$C8)*(data_dev!$C$2:$C$505&gt;=$D8)*(data_dev!$C$2:$C$505&lt;=$E8)*(data_dev!$D$2:$D$505&gt;=$F8)*(data_dev!$D$2:$D$505&lt;$G8)*((($H8=0)+(data_dev!$E$2:$E$505&lt;=5))&gt;0)*data_dev!$F$2:$F$505)</f>
        <v/>
      </c>
      <c r="N8">
        <f>SUMPRODUCT((data_dev!$A$2:$A$505=$C8)*(data_dev!$C$2:$C$505&gt;=$D8)*(data_dev!$C$2:$C$505&lt;=$E8)*(data_dev!$D$2:$D$505&gt;=$F8)*(data_dev!$D$2:$D$505&lt;$G8)*((($H8=0)+(data_dev!$E$2:$E$505&lt;=5))&gt;0)*data_dev!$L$2:$L$505)</f>
        <v/>
      </c>
      <c r="O8">
        <f>SUMPRODUCT((data_dev!$A$2:$A$505=$C8)*(data_dev!$C$2:$C$505&gt;=$D8)*(data_dev!$C$2:$C$505&lt;=$E8)*(data_dev!$D$2:$D$505&gt;=$F8)*(data_dev!$D$2:$D$505&lt;$G8)*((($H8=0)+(data_dev!$E$2:$E$505&lt;=5))&gt;0)*data_dev!$J$2:$J$505)</f>
        <v/>
      </c>
      <c r="P8">
        <f>SUMPRODUCT((data_dev!$A$2:$A$505=$C8)*(data_dev!$C$2:$C$505&gt;=$D8)*(data_dev!$C$2:$C$505&lt;=$E8)*(data_dev!$D$2:$D$505&gt;=$F8)*(data_dev!$D$2:$D$505&lt;$G8)*((($H8=0)+(data_dev!$E$2:$E$505&lt;=5))&gt;0)*data_dev!$M$2:$M$505)</f>
        <v/>
      </c>
      <c r="Q8">
        <f>SUMPRODUCT((data_dev!$A$2:$A$505=$C8)*(data_dev!$C$2:$C$505&gt;=$D8)*(data_dev!$C$2:$C$505&lt;=$E8)*(data_dev!$D$2:$D$505&gt;=$F8)*(data_dev!$D$2:$D$505&lt;$G8)*((($H8=0)+(data_dev!$E$2:$E$505&lt;=5))&gt;0)*data_dev!$K$2:$K$505)</f>
        <v/>
      </c>
      <c r="R8">
        <f>INT(N8*10000/M8)</f>
        <v/>
      </c>
      <c r="S8">
        <f>INT(O8*10000/M8)</f>
        <v/>
      </c>
      <c r="T8">
        <f>IF(K8=1,IF(J8="volume",INT((O8-MAX(0,Q8-INT(M8*0.15)))*10000/M8),INT((N8-MAX(0,P8-INT(M8*0.15)))*10000/M8)),IF(J8="volume",S8,R8))</f>
        <v/>
      </c>
      <c r="U8">
        <f>IF(AND(ROUND(I8*100,0)&lt;=IF(J8="volume",S8,R8)+50,ROUND(I8*100,0)&lt;=T8+50),"SUPPORTED","NOT_SUPPORTED")</f>
        <v/>
      </c>
      <c r="V8">
        <f>U8=L8</f>
        <v/>
      </c>
    </row>
    <row r="9">
      <c r="A9" t="inlineStr">
        <is>
          <t>D08</t>
        </is>
      </c>
      <c r="B9" t="inlineStr">
        <is>
          <t>Harbor Office used 100% renewable electricity during business hours on weekdays this week.</t>
        </is>
      </c>
      <c r="C9" t="inlineStr">
        <is>
          <t>HARBOR-OFFICE</t>
        </is>
      </c>
      <c r="D9" t="n">
        <v>1</v>
      </c>
      <c r="E9" t="n">
        <v>7</v>
      </c>
      <c r="F9" t="n">
        <v>8</v>
      </c>
      <c r="G9" t="n">
        <v>19</v>
      </c>
      <c r="H9" t="n">
        <v>1</v>
      </c>
      <c r="I9" t="n">
        <v>100</v>
      </c>
      <c r="J9" t="inlineStr">
        <is>
          <t>hourly</t>
        </is>
      </c>
      <c r="K9" t="n">
        <v>0</v>
      </c>
      <c r="L9" t="inlineStr">
        <is>
          <t>NOT_SUPPORTED</t>
        </is>
      </c>
      <c r="M9">
        <f>SUMPRODUCT((data_dev!$A$2:$A$505=$C9)*(data_dev!$C$2:$C$505&gt;=$D9)*(data_dev!$C$2:$C$505&lt;=$E9)*(data_dev!$D$2:$D$505&gt;=$F9)*(data_dev!$D$2:$D$505&lt;$G9)*((($H9=0)+(data_dev!$E$2:$E$505&lt;=5))&gt;0)*data_dev!$F$2:$F$505)</f>
        <v/>
      </c>
      <c r="N9">
        <f>SUMPRODUCT((data_dev!$A$2:$A$505=$C9)*(data_dev!$C$2:$C$505&gt;=$D9)*(data_dev!$C$2:$C$505&lt;=$E9)*(data_dev!$D$2:$D$505&gt;=$F9)*(data_dev!$D$2:$D$505&lt;$G9)*((($H9=0)+(data_dev!$E$2:$E$505&lt;=5))&gt;0)*data_dev!$L$2:$L$505)</f>
        <v/>
      </c>
      <c r="O9">
        <f>SUMPRODUCT((data_dev!$A$2:$A$505=$C9)*(data_dev!$C$2:$C$505&gt;=$D9)*(data_dev!$C$2:$C$505&lt;=$E9)*(data_dev!$D$2:$D$505&gt;=$F9)*(data_dev!$D$2:$D$505&lt;$G9)*((($H9=0)+(data_dev!$E$2:$E$505&lt;=5))&gt;0)*data_dev!$J$2:$J$505)</f>
        <v/>
      </c>
      <c r="P9">
        <f>SUMPRODUCT((data_dev!$A$2:$A$505=$C9)*(data_dev!$C$2:$C$505&gt;=$D9)*(data_dev!$C$2:$C$505&lt;=$E9)*(data_dev!$D$2:$D$505&gt;=$F9)*(data_dev!$D$2:$D$505&lt;$G9)*((($H9=0)+(data_dev!$E$2:$E$505&lt;=5))&gt;0)*data_dev!$M$2:$M$505)</f>
        <v/>
      </c>
      <c r="Q9">
        <f>SUMPRODUCT((data_dev!$A$2:$A$505=$C9)*(data_dev!$C$2:$C$505&gt;=$D9)*(data_dev!$C$2:$C$505&lt;=$E9)*(data_dev!$D$2:$D$505&gt;=$F9)*(data_dev!$D$2:$D$505&lt;$G9)*((($H9=0)+(data_dev!$E$2:$E$505&lt;=5))&gt;0)*data_dev!$K$2:$K$505)</f>
        <v/>
      </c>
      <c r="R9">
        <f>INT(N9*10000/M9)</f>
        <v/>
      </c>
      <c r="S9">
        <f>INT(O9*10000/M9)</f>
        <v/>
      </c>
      <c r="T9">
        <f>IF(K9=1,IF(J9="volume",INT((O9-MAX(0,Q9-INT(M9*0.15)))*10000/M9),INT((N9-MAX(0,P9-INT(M9*0.15)))*10000/M9)),IF(J9="volume",S9,R9))</f>
        <v/>
      </c>
      <c r="U9">
        <f>IF(AND(ROUND(I9*100,0)&lt;=IF(J9="volume",S9,R9)+50,ROUND(I9*100,0)&lt;=T9+50),"SUPPORTED","NOT_SUPPORTED")</f>
        <v/>
      </c>
      <c r="V9">
        <f>U9=L9</f>
        <v/>
      </c>
    </row>
    <row r="10">
      <c r="A10" t="inlineStr">
        <is>
          <t>D09</t>
        </is>
      </c>
      <c r="B10" t="inlineStr">
        <is>
          <t>Harbor Office is 100% renewable, every hour of every day, this week.</t>
        </is>
      </c>
      <c r="C10" t="inlineStr">
        <is>
          <t>HARBOR-OFFICE</t>
        </is>
      </c>
      <c r="D10" t="n">
        <v>1</v>
      </c>
      <c r="E10" t="n">
        <v>7</v>
      </c>
      <c r="F10" t="n">
        <v>0</v>
      </c>
      <c r="G10" t="n">
        <v>24</v>
      </c>
      <c r="H10" t="n">
        <v>0</v>
      </c>
      <c r="I10" t="n">
        <v>100</v>
      </c>
      <c r="J10" t="inlineStr">
        <is>
          <t>hourly</t>
        </is>
      </c>
      <c r="K10" t="n">
        <v>0</v>
      </c>
      <c r="L10" t="inlineStr">
        <is>
          <t>NOT_SUPPORTED</t>
        </is>
      </c>
      <c r="M10">
        <f>SUMPRODUCT((data_dev!$A$2:$A$505=$C10)*(data_dev!$C$2:$C$505&gt;=$D10)*(data_dev!$C$2:$C$505&lt;=$E10)*(data_dev!$D$2:$D$505&gt;=$F10)*(data_dev!$D$2:$D$505&lt;$G10)*((($H10=0)+(data_dev!$E$2:$E$505&lt;=5))&gt;0)*data_dev!$F$2:$F$505)</f>
        <v/>
      </c>
      <c r="N10">
        <f>SUMPRODUCT((data_dev!$A$2:$A$505=$C10)*(data_dev!$C$2:$C$505&gt;=$D10)*(data_dev!$C$2:$C$505&lt;=$E10)*(data_dev!$D$2:$D$505&gt;=$F10)*(data_dev!$D$2:$D$505&lt;$G10)*((($H10=0)+(data_dev!$E$2:$E$505&lt;=5))&gt;0)*data_dev!$L$2:$L$505)</f>
        <v/>
      </c>
      <c r="O10">
        <f>SUMPRODUCT((data_dev!$A$2:$A$505=$C10)*(data_dev!$C$2:$C$505&gt;=$D10)*(data_dev!$C$2:$C$505&lt;=$E10)*(data_dev!$D$2:$D$505&gt;=$F10)*(data_dev!$D$2:$D$505&lt;$G10)*((($H10=0)+(data_dev!$E$2:$E$505&lt;=5))&gt;0)*data_dev!$J$2:$J$505)</f>
        <v/>
      </c>
      <c r="P10">
        <f>SUMPRODUCT((data_dev!$A$2:$A$505=$C10)*(data_dev!$C$2:$C$505&gt;=$D10)*(data_dev!$C$2:$C$505&lt;=$E10)*(data_dev!$D$2:$D$505&gt;=$F10)*(data_dev!$D$2:$D$505&lt;$G10)*((($H10=0)+(data_dev!$E$2:$E$505&lt;=5))&gt;0)*data_dev!$M$2:$M$505)</f>
        <v/>
      </c>
      <c r="Q10">
        <f>SUMPRODUCT((data_dev!$A$2:$A$505=$C10)*(data_dev!$C$2:$C$505&gt;=$D10)*(data_dev!$C$2:$C$505&lt;=$E10)*(data_dev!$D$2:$D$505&gt;=$F10)*(data_dev!$D$2:$D$505&lt;$G10)*((($H10=0)+(data_dev!$E$2:$E$505&lt;=5))&gt;0)*data_dev!$K$2:$K$505)</f>
        <v/>
      </c>
      <c r="R10">
        <f>INT(N10*10000/M10)</f>
        <v/>
      </c>
      <c r="S10">
        <f>INT(O10*10000/M10)</f>
        <v/>
      </c>
      <c r="T10">
        <f>IF(K10=1,IF(J10="volume",INT((O10-MAX(0,Q10-INT(M10*0.15)))*10000/M10),INT((N10-MAX(0,P10-INT(M10*0.15)))*10000/M10)),IF(J10="volume",S10,R10))</f>
        <v/>
      </c>
      <c r="U10">
        <f>IF(AND(ROUND(I10*100,0)&lt;=IF(J10="volume",S10,R10)+50,ROUND(I10*100,0)&lt;=T10+50),"SUPPORTED","NOT_SUPPORTED")</f>
        <v/>
      </c>
      <c r="V10">
        <f>U10=L10</f>
        <v/>
      </c>
    </row>
    <row r="11">
      <c r="A11" t="inlineStr">
        <is>
          <t>D10</t>
        </is>
      </c>
      <c r="B11" t="inlineStr">
        <is>
          <t>All of Harbor Office's electricity this week was RE100-eligible renewable electricity, matched hour by hour.</t>
        </is>
      </c>
      <c r="C11" t="inlineStr">
        <is>
          <t>HARBOR-OFFICE</t>
        </is>
      </c>
      <c r="D11" t="n">
        <v>1</v>
      </c>
      <c r="E11" t="n">
        <v>7</v>
      </c>
      <c r="F11" t="n">
        <v>0</v>
      </c>
      <c r="G11" t="n">
        <v>24</v>
      </c>
      <c r="H11" t="n">
        <v>0</v>
      </c>
      <c r="I11" t="n">
        <v>100</v>
      </c>
      <c r="J11" t="inlineStr">
        <is>
          <t>hourly</t>
        </is>
      </c>
      <c r="K11" t="n">
        <v>1</v>
      </c>
      <c r="L11" t="inlineStr">
        <is>
          <t>NOT_SUPPORTED</t>
        </is>
      </c>
      <c r="M11">
        <f>SUMPRODUCT((data_dev!$A$2:$A$505=$C11)*(data_dev!$C$2:$C$505&gt;=$D11)*(data_dev!$C$2:$C$505&lt;=$E11)*(data_dev!$D$2:$D$505&gt;=$F11)*(data_dev!$D$2:$D$505&lt;$G11)*((($H11=0)+(data_dev!$E$2:$E$505&lt;=5))&gt;0)*data_dev!$F$2:$F$505)</f>
        <v/>
      </c>
      <c r="N11">
        <f>SUMPRODUCT((data_dev!$A$2:$A$505=$C11)*(data_dev!$C$2:$C$505&gt;=$D11)*(data_dev!$C$2:$C$505&lt;=$E11)*(data_dev!$D$2:$D$505&gt;=$F11)*(data_dev!$D$2:$D$505&lt;$G11)*((($H11=0)+(data_dev!$E$2:$E$505&lt;=5))&gt;0)*data_dev!$L$2:$L$505)</f>
        <v/>
      </c>
      <c r="O11">
        <f>SUMPRODUCT((data_dev!$A$2:$A$505=$C11)*(data_dev!$C$2:$C$505&gt;=$D11)*(data_dev!$C$2:$C$505&lt;=$E11)*(data_dev!$D$2:$D$505&gt;=$F11)*(data_dev!$D$2:$D$505&lt;$G11)*((($H11=0)+(data_dev!$E$2:$E$505&lt;=5))&gt;0)*data_dev!$J$2:$J$505)</f>
        <v/>
      </c>
      <c r="P11">
        <f>SUMPRODUCT((data_dev!$A$2:$A$505=$C11)*(data_dev!$C$2:$C$505&gt;=$D11)*(data_dev!$C$2:$C$505&lt;=$E11)*(data_dev!$D$2:$D$505&gt;=$F11)*(data_dev!$D$2:$D$505&lt;$G11)*((($H11=0)+(data_dev!$E$2:$E$505&lt;=5))&gt;0)*data_dev!$M$2:$M$505)</f>
        <v/>
      </c>
      <c r="Q11">
        <f>SUMPRODUCT((data_dev!$A$2:$A$505=$C11)*(data_dev!$C$2:$C$505&gt;=$D11)*(data_dev!$C$2:$C$505&lt;=$E11)*(data_dev!$D$2:$D$505&gt;=$F11)*(data_dev!$D$2:$D$505&lt;$G11)*((($H11=0)+(data_dev!$E$2:$E$505&lt;=5))&gt;0)*data_dev!$K$2:$K$505)</f>
        <v/>
      </c>
      <c r="R11">
        <f>INT(N11*10000/M11)</f>
        <v/>
      </c>
      <c r="S11">
        <f>INT(O11*10000/M11)</f>
        <v/>
      </c>
      <c r="T11">
        <f>IF(K11=1,IF(J11="volume",INT((O11-MAX(0,Q11-INT(M11*0.15)))*10000/M11),INT((N11-MAX(0,P11-INT(M11*0.15)))*10000/M11)),IF(J11="volume",S11,R11))</f>
        <v/>
      </c>
      <c r="U11">
        <f>IF(AND(ROUND(I11*100,0)&lt;=IF(J11="volume",S11,R11)+50,ROUND(I11*100,0)&lt;=T11+50),"SUPPORTED","NOT_SUPPORTED")</f>
        <v/>
      </c>
      <c r="V11">
        <f>U11=L11</f>
        <v/>
      </c>
    </row>
    <row r="12">
      <c r="A12" t="inlineStr">
        <is>
          <t>D11</t>
        </is>
      </c>
      <c r="B12" t="inlineStr">
        <is>
          <t>Renewable certificates bought by Harbor Office equal 100% of its electricity consumption this week.</t>
        </is>
      </c>
      <c r="C12" t="inlineStr">
        <is>
          <t>HARBOR-OFFICE</t>
        </is>
      </c>
      <c r="D12" t="n">
        <v>1</v>
      </c>
      <c r="E12" t="n">
        <v>7</v>
      </c>
      <c r="F12" t="n">
        <v>0</v>
      </c>
      <c r="G12" t="n">
        <v>24</v>
      </c>
      <c r="H12" t="n">
        <v>0</v>
      </c>
      <c r="I12" t="n">
        <v>100</v>
      </c>
      <c r="J12" t="inlineStr">
        <is>
          <t>volume</t>
        </is>
      </c>
      <c r="K12" t="n">
        <v>0</v>
      </c>
      <c r="L12" t="inlineStr">
        <is>
          <t>SUPPORTED</t>
        </is>
      </c>
      <c r="M12">
        <f>SUMPRODUCT((data_dev!$A$2:$A$505=$C12)*(data_dev!$C$2:$C$505&gt;=$D12)*(data_dev!$C$2:$C$505&lt;=$E12)*(data_dev!$D$2:$D$505&gt;=$F12)*(data_dev!$D$2:$D$505&lt;$G12)*((($H12=0)+(data_dev!$E$2:$E$505&lt;=5))&gt;0)*data_dev!$F$2:$F$505)</f>
        <v/>
      </c>
      <c r="N12">
        <f>SUMPRODUCT((data_dev!$A$2:$A$505=$C12)*(data_dev!$C$2:$C$505&gt;=$D12)*(data_dev!$C$2:$C$505&lt;=$E12)*(data_dev!$D$2:$D$505&gt;=$F12)*(data_dev!$D$2:$D$505&lt;$G12)*((($H12=0)+(data_dev!$E$2:$E$505&lt;=5))&gt;0)*data_dev!$L$2:$L$505)</f>
        <v/>
      </c>
      <c r="O12">
        <f>SUMPRODUCT((data_dev!$A$2:$A$505=$C12)*(data_dev!$C$2:$C$505&gt;=$D12)*(data_dev!$C$2:$C$505&lt;=$E12)*(data_dev!$D$2:$D$505&gt;=$F12)*(data_dev!$D$2:$D$505&lt;$G12)*((($H12=0)+(data_dev!$E$2:$E$505&lt;=5))&gt;0)*data_dev!$J$2:$J$505)</f>
        <v/>
      </c>
      <c r="P12">
        <f>SUMPRODUCT((data_dev!$A$2:$A$505=$C12)*(data_dev!$C$2:$C$505&gt;=$D12)*(data_dev!$C$2:$C$505&lt;=$E12)*(data_dev!$D$2:$D$505&gt;=$F12)*(data_dev!$D$2:$D$505&lt;$G12)*((($H12=0)+(data_dev!$E$2:$E$505&lt;=5))&gt;0)*data_dev!$M$2:$M$505)</f>
        <v/>
      </c>
      <c r="Q12">
        <f>SUMPRODUCT((data_dev!$A$2:$A$505=$C12)*(data_dev!$C$2:$C$505&gt;=$D12)*(data_dev!$C$2:$C$505&lt;=$E12)*(data_dev!$D$2:$D$505&gt;=$F12)*(data_dev!$D$2:$D$505&lt;$G12)*((($H12=0)+(data_dev!$E$2:$E$505&lt;=5))&gt;0)*data_dev!$K$2:$K$505)</f>
        <v/>
      </c>
      <c r="R12">
        <f>INT(N12*10000/M12)</f>
        <v/>
      </c>
      <c r="S12">
        <f>INT(O12*10000/M12)</f>
        <v/>
      </c>
      <c r="T12">
        <f>IF(K12=1,IF(J12="volume",INT((O12-MAX(0,Q12-INT(M12*0.15)))*10000/M12),INT((N12-MAX(0,P12-INT(M12*0.15)))*10000/M12)),IF(J12="volume",S12,R12))</f>
        <v/>
      </c>
      <c r="U12">
        <f>IF(AND(ROUND(I12*100,0)&lt;=IF(J12="volume",S12,R12)+50,ROUND(I12*100,0)&lt;=T12+50),"SUPPORTED","NOT_SUPPORTED")</f>
        <v/>
      </c>
      <c r="V12">
        <f>U12=L12</f>
        <v/>
      </c>
    </row>
    <row r="13">
      <c r="A13" t="inlineStr">
        <is>
          <t>D12</t>
        </is>
      </c>
      <c r="B13" t="inlineStr">
        <is>
          <t>Cloudline Data Center ran on 100% wind power on 2026-10-08.</t>
        </is>
      </c>
      <c r="C13" t="inlineStr">
        <is>
          <t>CLOUDLINE-DC</t>
        </is>
      </c>
      <c r="D13" t="n">
        <v>3</v>
      </c>
      <c r="E13" t="n">
        <v>3</v>
      </c>
      <c r="F13" t="n">
        <v>0</v>
      </c>
      <c r="G13" t="n">
        <v>24</v>
      </c>
      <c r="H13" t="n">
        <v>0</v>
      </c>
      <c r="I13" t="n">
        <v>100</v>
      </c>
      <c r="J13" t="inlineStr">
        <is>
          <t>hourly</t>
        </is>
      </c>
      <c r="K13" t="n">
        <v>0</v>
      </c>
      <c r="L13" t="inlineStr">
        <is>
          <t>NOT_SUPPORTED</t>
        </is>
      </c>
      <c r="M13">
        <f>SUMPRODUCT((data_dev!$A$2:$A$505=$C13)*(data_dev!$C$2:$C$505&gt;=$D13)*(data_dev!$C$2:$C$505&lt;=$E13)*(data_dev!$D$2:$D$505&gt;=$F13)*(data_dev!$D$2:$D$505&lt;$G13)*((($H13=0)+(data_dev!$E$2:$E$505&lt;=5))&gt;0)*data_dev!$F$2:$F$505)</f>
        <v/>
      </c>
      <c r="N13">
        <f>SUMPRODUCT((data_dev!$A$2:$A$505=$C13)*(data_dev!$C$2:$C$505&gt;=$D13)*(data_dev!$C$2:$C$505&lt;=$E13)*(data_dev!$D$2:$D$505&gt;=$F13)*(data_dev!$D$2:$D$505&lt;$G13)*((($H13=0)+(data_dev!$E$2:$E$505&lt;=5))&gt;0)*data_dev!$L$2:$L$505)</f>
        <v/>
      </c>
      <c r="O13">
        <f>SUMPRODUCT((data_dev!$A$2:$A$505=$C13)*(data_dev!$C$2:$C$505&gt;=$D13)*(data_dev!$C$2:$C$505&lt;=$E13)*(data_dev!$D$2:$D$505&gt;=$F13)*(data_dev!$D$2:$D$505&lt;$G13)*((($H13=0)+(data_dev!$E$2:$E$505&lt;=5))&gt;0)*data_dev!$J$2:$J$505)</f>
        <v/>
      </c>
      <c r="P13">
        <f>SUMPRODUCT((data_dev!$A$2:$A$505=$C13)*(data_dev!$C$2:$C$505&gt;=$D13)*(data_dev!$C$2:$C$505&lt;=$E13)*(data_dev!$D$2:$D$505&gt;=$F13)*(data_dev!$D$2:$D$505&lt;$G13)*((($H13=0)+(data_dev!$E$2:$E$505&lt;=5))&gt;0)*data_dev!$M$2:$M$505)</f>
        <v/>
      </c>
      <c r="Q13">
        <f>SUMPRODUCT((data_dev!$A$2:$A$505=$C13)*(data_dev!$C$2:$C$505&gt;=$D13)*(data_dev!$C$2:$C$505&lt;=$E13)*(data_dev!$D$2:$D$505&gt;=$F13)*(data_dev!$D$2:$D$505&lt;$G13)*((($H13=0)+(data_dev!$E$2:$E$505&lt;=5))&gt;0)*data_dev!$K$2:$K$505)</f>
        <v/>
      </c>
      <c r="R13">
        <f>INT(N13*10000/M13)</f>
        <v/>
      </c>
      <c r="S13">
        <f>INT(O13*10000/M13)</f>
        <v/>
      </c>
      <c r="T13">
        <f>IF(K13=1,IF(J13="volume",INT((O13-MAX(0,Q13-INT(M13*0.15)))*10000/M13),INT((N13-MAX(0,P13-INT(M13*0.15)))*10000/M13)),IF(J13="volume",S13,R13))</f>
        <v/>
      </c>
      <c r="U13">
        <f>IF(AND(ROUND(I13*100,0)&lt;=IF(J13="volume",S13,R13)+50,ROUND(I13*100,0)&lt;=T13+50),"SUPPORTED","NOT_SUPPORTED")</f>
        <v/>
      </c>
      <c r="V13">
        <f>U13=L13</f>
        <v/>
      </c>
    </row>
    <row r="14">
      <c r="A14" t="inlineStr">
        <is>
          <t>D13</t>
        </is>
      </c>
      <c r="B14" t="inlineStr">
        <is>
          <t>Cloudline Data Center matched 90% of its load with renewable electricity on an hourly basis this week.</t>
        </is>
      </c>
      <c r="C14" t="inlineStr">
        <is>
          <t>CLOUDLINE-DC</t>
        </is>
      </c>
      <c r="D14" t="n">
        <v>1</v>
      </c>
      <c r="E14" t="n">
        <v>7</v>
      </c>
      <c r="F14" t="n">
        <v>0</v>
      </c>
      <c r="G14" t="n">
        <v>24</v>
      </c>
      <c r="H14" t="n">
        <v>0</v>
      </c>
      <c r="I14" t="n">
        <v>90</v>
      </c>
      <c r="J14" t="inlineStr">
        <is>
          <t>hourly</t>
        </is>
      </c>
      <c r="K14" t="n">
        <v>0</v>
      </c>
      <c r="L14" t="inlineStr">
        <is>
          <t>SUPPORTED</t>
        </is>
      </c>
      <c r="M14">
        <f>SUMPRODUCT((data_dev!$A$2:$A$505=$C14)*(data_dev!$C$2:$C$505&gt;=$D14)*(data_dev!$C$2:$C$505&lt;=$E14)*(data_dev!$D$2:$D$505&gt;=$F14)*(data_dev!$D$2:$D$505&lt;$G14)*((($H14=0)+(data_dev!$E$2:$E$505&lt;=5))&gt;0)*data_dev!$F$2:$F$505)</f>
        <v/>
      </c>
      <c r="N14">
        <f>SUMPRODUCT((data_dev!$A$2:$A$505=$C14)*(data_dev!$C$2:$C$505&gt;=$D14)*(data_dev!$C$2:$C$505&lt;=$E14)*(data_dev!$D$2:$D$505&gt;=$F14)*(data_dev!$D$2:$D$505&lt;$G14)*((($H14=0)+(data_dev!$E$2:$E$505&lt;=5))&gt;0)*data_dev!$L$2:$L$505)</f>
        <v/>
      </c>
      <c r="O14">
        <f>SUMPRODUCT((data_dev!$A$2:$A$505=$C14)*(data_dev!$C$2:$C$505&gt;=$D14)*(data_dev!$C$2:$C$505&lt;=$E14)*(data_dev!$D$2:$D$505&gt;=$F14)*(data_dev!$D$2:$D$505&lt;$G14)*((($H14=0)+(data_dev!$E$2:$E$505&lt;=5))&gt;0)*data_dev!$J$2:$J$505)</f>
        <v/>
      </c>
      <c r="P14">
        <f>SUMPRODUCT((data_dev!$A$2:$A$505=$C14)*(data_dev!$C$2:$C$505&gt;=$D14)*(data_dev!$C$2:$C$505&lt;=$E14)*(data_dev!$D$2:$D$505&gt;=$F14)*(data_dev!$D$2:$D$505&lt;$G14)*((($H14=0)+(data_dev!$E$2:$E$505&lt;=5))&gt;0)*data_dev!$M$2:$M$505)</f>
        <v/>
      </c>
      <c r="Q14">
        <f>SUMPRODUCT((data_dev!$A$2:$A$505=$C14)*(data_dev!$C$2:$C$505&gt;=$D14)*(data_dev!$C$2:$C$505&lt;=$E14)*(data_dev!$D$2:$D$505&gt;=$F14)*(data_dev!$D$2:$D$505&lt;$G14)*((($H14=0)+(data_dev!$E$2:$E$505&lt;=5))&gt;0)*data_dev!$K$2:$K$505)</f>
        <v/>
      </c>
      <c r="R14">
        <f>INT(N14*10000/M14)</f>
        <v/>
      </c>
      <c r="S14">
        <f>INT(O14*10000/M14)</f>
        <v/>
      </c>
      <c r="T14">
        <f>IF(K14=1,IF(J14="volume",INT((O14-MAX(0,Q14-INT(M14*0.15)))*10000/M14),INT((N14-MAX(0,P14-INT(M14*0.15)))*10000/M14)),IF(J14="volume",S14,R14))</f>
        <v/>
      </c>
      <c r="U14">
        <f>IF(AND(ROUND(I14*100,0)&lt;=IF(J14="volume",S14,R14)+50,ROUND(I14*100,0)&lt;=T14+50),"SUPPORTED","NOT_SUPPORTED")</f>
        <v/>
      </c>
      <c r="V14">
        <f>U14=L14</f>
        <v/>
      </c>
    </row>
    <row r="15">
      <c r="A15" t="inlineStr">
        <is>
          <t>D14</t>
        </is>
      </c>
      <c r="B15" t="inlineStr">
        <is>
          <t>Cloudline Data Center was 24/7 carbon-free from 2026-10-10 to 2026-10-12.</t>
        </is>
      </c>
      <c r="C15" t="inlineStr">
        <is>
          <t>CLOUDLINE-DC</t>
        </is>
      </c>
      <c r="D15" t="n">
        <v>5</v>
      </c>
      <c r="E15" t="n">
        <v>7</v>
      </c>
      <c r="F15" t="n">
        <v>0</v>
      </c>
      <c r="G15" t="n">
        <v>24</v>
      </c>
      <c r="H15" t="n">
        <v>0</v>
      </c>
      <c r="I15" t="n">
        <v>100</v>
      </c>
      <c r="J15" t="inlineStr">
        <is>
          <t>hourly</t>
        </is>
      </c>
      <c r="K15" t="n">
        <v>0</v>
      </c>
      <c r="L15" t="inlineStr">
        <is>
          <t>NOT_SUPPORTED</t>
        </is>
      </c>
      <c r="M15">
        <f>SUMPRODUCT((data_dev!$A$2:$A$505=$C15)*(data_dev!$C$2:$C$505&gt;=$D15)*(data_dev!$C$2:$C$505&lt;=$E15)*(data_dev!$D$2:$D$505&gt;=$F15)*(data_dev!$D$2:$D$505&lt;$G15)*((($H15=0)+(data_dev!$E$2:$E$505&lt;=5))&gt;0)*data_dev!$F$2:$F$505)</f>
        <v/>
      </c>
      <c r="N15">
        <f>SUMPRODUCT((data_dev!$A$2:$A$505=$C15)*(data_dev!$C$2:$C$505&gt;=$D15)*(data_dev!$C$2:$C$505&lt;=$E15)*(data_dev!$D$2:$D$505&gt;=$F15)*(data_dev!$D$2:$D$505&lt;$G15)*((($H15=0)+(data_dev!$E$2:$E$505&lt;=5))&gt;0)*data_dev!$L$2:$L$505)</f>
        <v/>
      </c>
      <c r="O15">
        <f>SUMPRODUCT((data_dev!$A$2:$A$505=$C15)*(data_dev!$C$2:$C$505&gt;=$D15)*(data_dev!$C$2:$C$505&lt;=$E15)*(data_dev!$D$2:$D$505&gt;=$F15)*(data_dev!$D$2:$D$505&lt;$G15)*((($H15=0)+(data_dev!$E$2:$E$505&lt;=5))&gt;0)*data_dev!$J$2:$J$505)</f>
        <v/>
      </c>
      <c r="P15">
        <f>SUMPRODUCT((data_dev!$A$2:$A$505=$C15)*(data_dev!$C$2:$C$505&gt;=$D15)*(data_dev!$C$2:$C$505&lt;=$E15)*(data_dev!$D$2:$D$505&gt;=$F15)*(data_dev!$D$2:$D$505&lt;$G15)*((($H15=0)+(data_dev!$E$2:$E$505&lt;=5))&gt;0)*data_dev!$M$2:$M$505)</f>
        <v/>
      </c>
      <c r="Q15">
        <f>SUMPRODUCT((data_dev!$A$2:$A$505=$C15)*(data_dev!$C$2:$C$505&gt;=$D15)*(data_dev!$C$2:$C$505&lt;=$E15)*(data_dev!$D$2:$D$505&gt;=$F15)*(data_dev!$D$2:$D$505&lt;$G15)*((($H15=0)+(data_dev!$E$2:$E$505&lt;=5))&gt;0)*data_dev!$K$2:$K$505)</f>
        <v/>
      </c>
      <c r="R15">
        <f>INT(N15*10000/M15)</f>
        <v/>
      </c>
      <c r="S15">
        <f>INT(O15*10000/M15)</f>
        <v/>
      </c>
      <c r="T15">
        <f>IF(K15=1,IF(J15="volume",INT((O15-MAX(0,Q15-INT(M15*0.15)))*10000/M15),INT((N15-MAX(0,P15-INT(M15*0.15)))*10000/M15)),IF(J15="volume",S15,R15))</f>
        <v/>
      </c>
      <c r="U15">
        <f>IF(AND(ROUND(I15*100,0)&lt;=IF(J15="volume",S15,R15)+50,ROUND(I15*100,0)&lt;=T15+50),"SUPPORTED","NOT_SUPPORTED")</f>
        <v/>
      </c>
      <c r="V15">
        <f>U15=L15</f>
        <v/>
      </c>
    </row>
    <row r="16">
      <c r="A16" t="inlineStr">
        <is>
          <t>D15</t>
        </is>
      </c>
      <c r="B16" t="inlineStr">
        <is>
          <t>On 2026-10-11, Northbay Fab covered 81% of its electricity with same-hour renewable certificates.</t>
        </is>
      </c>
      <c r="C16" t="inlineStr">
        <is>
          <t>NORTHBAY-FAB</t>
        </is>
      </c>
      <c r="D16" t="n">
        <v>6</v>
      </c>
      <c r="E16" t="n">
        <v>6</v>
      </c>
      <c r="F16" t="n">
        <v>0</v>
      </c>
      <c r="G16" t="n">
        <v>24</v>
      </c>
      <c r="H16" t="n">
        <v>0</v>
      </c>
      <c r="I16" t="n">
        <v>81</v>
      </c>
      <c r="J16" t="inlineStr">
        <is>
          <t>hourly</t>
        </is>
      </c>
      <c r="K16" t="n">
        <v>0</v>
      </c>
      <c r="L16" t="inlineStr">
        <is>
          <t>SUPPORTED</t>
        </is>
      </c>
      <c r="M16">
        <f>SUMPRODUCT((data_dev!$A$2:$A$505=$C16)*(data_dev!$C$2:$C$505&gt;=$D16)*(data_dev!$C$2:$C$505&lt;=$E16)*(data_dev!$D$2:$D$505&gt;=$F16)*(data_dev!$D$2:$D$505&lt;$G16)*((($H16=0)+(data_dev!$E$2:$E$505&lt;=5))&gt;0)*data_dev!$F$2:$F$505)</f>
        <v/>
      </c>
      <c r="N16">
        <f>SUMPRODUCT((data_dev!$A$2:$A$505=$C16)*(data_dev!$C$2:$C$505&gt;=$D16)*(data_dev!$C$2:$C$505&lt;=$E16)*(data_dev!$D$2:$D$505&gt;=$F16)*(data_dev!$D$2:$D$505&lt;$G16)*((($H16=0)+(data_dev!$E$2:$E$505&lt;=5))&gt;0)*data_dev!$L$2:$L$505)</f>
        <v/>
      </c>
      <c r="O16">
        <f>SUMPRODUCT((data_dev!$A$2:$A$505=$C16)*(data_dev!$C$2:$C$505&gt;=$D16)*(data_dev!$C$2:$C$505&lt;=$E16)*(data_dev!$D$2:$D$505&gt;=$F16)*(data_dev!$D$2:$D$505&lt;$G16)*((($H16=0)+(data_dev!$E$2:$E$505&lt;=5))&gt;0)*data_dev!$J$2:$J$505)</f>
        <v/>
      </c>
      <c r="P16">
        <f>SUMPRODUCT((data_dev!$A$2:$A$505=$C16)*(data_dev!$C$2:$C$505&gt;=$D16)*(data_dev!$C$2:$C$505&lt;=$E16)*(data_dev!$D$2:$D$505&gt;=$F16)*(data_dev!$D$2:$D$505&lt;$G16)*((($H16=0)+(data_dev!$E$2:$E$505&lt;=5))&gt;0)*data_dev!$M$2:$M$505)</f>
        <v/>
      </c>
      <c r="Q16">
        <f>SUMPRODUCT((data_dev!$A$2:$A$505=$C16)*(data_dev!$C$2:$C$505&gt;=$D16)*(data_dev!$C$2:$C$505&lt;=$E16)*(data_dev!$D$2:$D$505&gt;=$F16)*(data_dev!$D$2:$D$505&lt;$G16)*((($H16=0)+(data_dev!$E$2:$E$505&lt;=5))&gt;0)*data_dev!$K$2:$K$505)</f>
        <v/>
      </c>
      <c r="R16">
        <f>INT(N16*10000/M16)</f>
        <v/>
      </c>
      <c r="S16">
        <f>INT(O16*10000/M16)</f>
        <v/>
      </c>
      <c r="T16">
        <f>IF(K16=1,IF(J16="volume",INT((O16-MAX(0,Q16-INT(M16*0.15)))*10000/M16),INT((N16-MAX(0,P16-INT(M16*0.15)))*10000/M16)),IF(J16="volume",S16,R16))</f>
        <v/>
      </c>
      <c r="U16">
        <f>IF(AND(ROUND(I16*100,0)&lt;=IF(J16="volume",S16,R16)+50,ROUND(I16*100,0)&lt;=T16+50),"SUPPORTED","NOT_SUPPORTED")</f>
        <v/>
      </c>
      <c r="V16">
        <f>U16=L16</f>
        <v/>
      </c>
    </row>
    <row r="17">
      <c r="A17" t="inlineStr">
        <is>
          <t>D16</t>
        </is>
      </c>
      <c r="B17" t="inlineStr">
        <is>
          <t>Cloudline Data Center's certificates cover 100% of its use this week, so the data center matched 100% of its electricity hour by hour.</t>
        </is>
      </c>
      <c r="C17" t="inlineStr">
        <is>
          <t>CLOUDLINE-DC</t>
        </is>
      </c>
      <c r="D17" t="n">
        <v>1</v>
      </c>
      <c r="E17" t="n">
        <v>7</v>
      </c>
      <c r="F17" t="n">
        <v>0</v>
      </c>
      <c r="G17" t="n">
        <v>24</v>
      </c>
      <c r="H17" t="n">
        <v>0</v>
      </c>
      <c r="I17" t="n">
        <v>100</v>
      </c>
      <c r="J17" t="inlineStr">
        <is>
          <t>hourly</t>
        </is>
      </c>
      <c r="K17" t="n">
        <v>0</v>
      </c>
      <c r="L17" t="inlineStr">
        <is>
          <t>NOT_SUPPORTED</t>
        </is>
      </c>
      <c r="M17">
        <f>SUMPRODUCT((data_dev!$A$2:$A$505=$C17)*(data_dev!$C$2:$C$505&gt;=$D17)*(data_dev!$C$2:$C$505&lt;=$E17)*(data_dev!$D$2:$D$505&gt;=$F17)*(data_dev!$D$2:$D$505&lt;$G17)*((($H17=0)+(data_dev!$E$2:$E$505&lt;=5))&gt;0)*data_dev!$F$2:$F$505)</f>
        <v/>
      </c>
      <c r="N17">
        <f>SUMPRODUCT((data_dev!$A$2:$A$505=$C17)*(data_dev!$C$2:$C$505&gt;=$D17)*(data_dev!$C$2:$C$505&lt;=$E17)*(data_dev!$D$2:$D$505&gt;=$F17)*(data_dev!$D$2:$D$505&lt;$G17)*((($H17=0)+(data_dev!$E$2:$E$505&lt;=5))&gt;0)*data_dev!$L$2:$L$505)</f>
        <v/>
      </c>
      <c r="O17">
        <f>SUMPRODUCT((data_dev!$A$2:$A$505=$C17)*(data_dev!$C$2:$C$505&gt;=$D17)*(data_dev!$C$2:$C$505&lt;=$E17)*(data_dev!$D$2:$D$505&gt;=$F17)*(data_dev!$D$2:$D$505&lt;$G17)*((($H17=0)+(data_dev!$E$2:$E$505&lt;=5))&gt;0)*data_dev!$J$2:$J$505)</f>
        <v/>
      </c>
      <c r="P17">
        <f>SUMPRODUCT((data_dev!$A$2:$A$505=$C17)*(data_dev!$C$2:$C$505&gt;=$D17)*(data_dev!$C$2:$C$505&lt;=$E17)*(data_dev!$D$2:$D$505&gt;=$F17)*(data_dev!$D$2:$D$505&lt;$G17)*((($H17=0)+(data_dev!$E$2:$E$505&lt;=5))&gt;0)*data_dev!$M$2:$M$505)</f>
        <v/>
      </c>
      <c r="Q17">
        <f>SUMPRODUCT((data_dev!$A$2:$A$505=$C17)*(data_dev!$C$2:$C$505&gt;=$D17)*(data_dev!$C$2:$C$505&lt;=$E17)*(data_dev!$D$2:$D$505&gt;=$F17)*(data_dev!$D$2:$D$505&lt;$G17)*((($H17=0)+(data_dev!$E$2:$E$505&lt;=5))&gt;0)*data_dev!$K$2:$K$505)</f>
        <v/>
      </c>
      <c r="R17">
        <f>INT(N17*10000/M17)</f>
        <v/>
      </c>
      <c r="S17">
        <f>INT(O17*10000/M17)</f>
        <v/>
      </c>
      <c r="T17">
        <f>IF(K17=1,IF(J17="volume",INT((O17-MAX(0,Q17-INT(M17*0.15)))*10000/M17),INT((N17-MAX(0,P17-INT(M17*0.15)))*10000/M17)),IF(J17="volume",S17,R17))</f>
        <v/>
      </c>
      <c r="U17">
        <f>IF(AND(ROUND(I17*100,0)&lt;=IF(J17="volume",S17,R17)+50,ROUND(I17*100,0)&lt;=T17+50),"SUPPORTED","NOT_SUPPORTED")</f>
        <v/>
      </c>
      <c r="V17">
        <f>U17=L17</f>
        <v/>
      </c>
    </row>
    <row r="18">
      <c r="A18" t="inlineStr">
        <is>
          <t>D17</t>
        </is>
      </c>
      <c r="B18" t="inlineStr">
        <is>
          <t>Harbor Office ran on 79% renewable power, hour by hour, on weekdays this week.</t>
        </is>
      </c>
      <c r="C18" t="inlineStr">
        <is>
          <t>HARBOR-OFFICE</t>
        </is>
      </c>
      <c r="D18" t="n">
        <v>1</v>
      </c>
      <c r="E18" t="n">
        <v>7</v>
      </c>
      <c r="F18" t="n">
        <v>0</v>
      </c>
      <c r="G18" t="n">
        <v>24</v>
      </c>
      <c r="H18" t="n">
        <v>1</v>
      </c>
      <c r="I18" t="n">
        <v>79</v>
      </c>
      <c r="J18" t="inlineStr">
        <is>
          <t>hourly</t>
        </is>
      </c>
      <c r="K18" t="n">
        <v>0</v>
      </c>
      <c r="L18" t="inlineStr">
        <is>
          <t>SUPPORTED</t>
        </is>
      </c>
      <c r="M18">
        <f>SUMPRODUCT((data_dev!$A$2:$A$505=$C18)*(data_dev!$C$2:$C$505&gt;=$D18)*(data_dev!$C$2:$C$505&lt;=$E18)*(data_dev!$D$2:$D$505&gt;=$F18)*(data_dev!$D$2:$D$505&lt;$G18)*((($H18=0)+(data_dev!$E$2:$E$505&lt;=5))&gt;0)*data_dev!$F$2:$F$505)</f>
        <v/>
      </c>
      <c r="N18">
        <f>SUMPRODUCT((data_dev!$A$2:$A$505=$C18)*(data_dev!$C$2:$C$505&gt;=$D18)*(data_dev!$C$2:$C$505&lt;=$E18)*(data_dev!$D$2:$D$505&gt;=$F18)*(data_dev!$D$2:$D$505&lt;$G18)*((($H18=0)+(data_dev!$E$2:$E$505&lt;=5))&gt;0)*data_dev!$L$2:$L$505)</f>
        <v/>
      </c>
      <c r="O18">
        <f>SUMPRODUCT((data_dev!$A$2:$A$505=$C18)*(data_dev!$C$2:$C$505&gt;=$D18)*(data_dev!$C$2:$C$505&lt;=$E18)*(data_dev!$D$2:$D$505&gt;=$F18)*(data_dev!$D$2:$D$505&lt;$G18)*((($H18=0)+(data_dev!$E$2:$E$505&lt;=5))&gt;0)*data_dev!$J$2:$J$505)</f>
        <v/>
      </c>
      <c r="P18">
        <f>SUMPRODUCT((data_dev!$A$2:$A$505=$C18)*(data_dev!$C$2:$C$505&gt;=$D18)*(data_dev!$C$2:$C$505&lt;=$E18)*(data_dev!$D$2:$D$505&gt;=$F18)*(data_dev!$D$2:$D$505&lt;$G18)*((($H18=0)+(data_dev!$E$2:$E$505&lt;=5))&gt;0)*data_dev!$M$2:$M$505)</f>
        <v/>
      </c>
      <c r="Q18">
        <f>SUMPRODUCT((data_dev!$A$2:$A$505=$C18)*(data_dev!$C$2:$C$505&gt;=$D18)*(data_dev!$C$2:$C$505&lt;=$E18)*(data_dev!$D$2:$D$505&gt;=$F18)*(data_dev!$D$2:$D$505&lt;$G18)*((($H18=0)+(data_dev!$E$2:$E$505&lt;=5))&gt;0)*data_dev!$K$2:$K$505)</f>
        <v/>
      </c>
      <c r="R18">
        <f>INT(N18*10000/M18)</f>
        <v/>
      </c>
      <c r="S18">
        <f>INT(O18*10000/M18)</f>
        <v/>
      </c>
      <c r="T18">
        <f>IF(K18=1,IF(J18="volume",INT((O18-MAX(0,Q18-INT(M18*0.15)))*10000/M18),INT((N18-MAX(0,P18-INT(M18*0.15)))*10000/M18)),IF(J18="volume",S18,R18))</f>
        <v/>
      </c>
      <c r="U18">
        <f>IF(AND(ROUND(I18*100,0)&lt;=IF(J18="volume",S18,R18)+50,ROUND(I18*100,0)&lt;=T18+50),"SUPPORTED","NOT_SUPPORTED")</f>
        <v/>
      </c>
      <c r="V18">
        <f>U18=L18</f>
        <v/>
      </c>
    </row>
    <row r="19">
      <c r="A19" t="inlineStr">
        <is>
          <t>D18</t>
        </is>
      </c>
      <c r="B19" t="inlineStr">
        <is>
          <t>Northbay Fab is RE100-compliant this week, with 83% of its electricity matched every hour by renewable certificates.</t>
        </is>
      </c>
      <c r="C19" t="inlineStr">
        <is>
          <t>NORTHBAY-FAB</t>
        </is>
      </c>
      <c r="D19" t="n">
        <v>1</v>
      </c>
      <c r="E19" t="n">
        <v>7</v>
      </c>
      <c r="F19" t="n">
        <v>0</v>
      </c>
      <c r="G19" t="n">
        <v>24</v>
      </c>
      <c r="H19" t="n">
        <v>0</v>
      </c>
      <c r="I19" t="n">
        <v>83</v>
      </c>
      <c r="J19" t="inlineStr">
        <is>
          <t>hourly</t>
        </is>
      </c>
      <c r="K19" t="n">
        <v>1</v>
      </c>
      <c r="L19" t="inlineStr">
        <is>
          <t>SUPPORTED</t>
        </is>
      </c>
      <c r="M19">
        <f>SUMPRODUCT((data_dev!$A$2:$A$505=$C19)*(data_dev!$C$2:$C$505&gt;=$D19)*(data_dev!$C$2:$C$505&lt;=$E19)*(data_dev!$D$2:$D$505&gt;=$F19)*(data_dev!$D$2:$D$505&lt;$G19)*((($H19=0)+(data_dev!$E$2:$E$505&lt;=5))&gt;0)*data_dev!$F$2:$F$505)</f>
        <v/>
      </c>
      <c r="N19">
        <f>SUMPRODUCT((data_dev!$A$2:$A$505=$C19)*(data_dev!$C$2:$C$505&gt;=$D19)*(data_dev!$C$2:$C$505&lt;=$E19)*(data_dev!$D$2:$D$505&gt;=$F19)*(data_dev!$D$2:$D$505&lt;$G19)*((($H19=0)+(data_dev!$E$2:$E$505&lt;=5))&gt;0)*data_dev!$L$2:$L$505)</f>
        <v/>
      </c>
      <c r="O19">
        <f>SUMPRODUCT((data_dev!$A$2:$A$505=$C19)*(data_dev!$C$2:$C$505&gt;=$D19)*(data_dev!$C$2:$C$505&lt;=$E19)*(data_dev!$D$2:$D$505&gt;=$F19)*(data_dev!$D$2:$D$505&lt;$G19)*((($H19=0)+(data_dev!$E$2:$E$505&lt;=5))&gt;0)*data_dev!$J$2:$J$505)</f>
        <v/>
      </c>
      <c r="P19">
        <f>SUMPRODUCT((data_dev!$A$2:$A$505=$C19)*(data_dev!$C$2:$C$505&gt;=$D19)*(data_dev!$C$2:$C$505&lt;=$E19)*(data_dev!$D$2:$D$505&gt;=$F19)*(data_dev!$D$2:$D$505&lt;$G19)*((($H19=0)+(data_dev!$E$2:$E$505&lt;=5))&gt;0)*data_dev!$M$2:$M$505)</f>
        <v/>
      </c>
      <c r="Q19">
        <f>SUMPRODUCT((data_dev!$A$2:$A$505=$C19)*(data_dev!$C$2:$C$505&gt;=$D19)*(data_dev!$C$2:$C$505&lt;=$E19)*(data_dev!$D$2:$D$505&gt;=$F19)*(data_dev!$D$2:$D$505&lt;$G19)*((($H19=0)+(data_dev!$E$2:$E$505&lt;=5))&gt;0)*data_dev!$K$2:$K$505)</f>
        <v/>
      </c>
      <c r="R19">
        <f>INT(N19*10000/M19)</f>
        <v/>
      </c>
      <c r="S19">
        <f>INT(O19*10000/M19)</f>
        <v/>
      </c>
      <c r="T19">
        <f>IF(K19=1,IF(J19="volume",INT((O19-MAX(0,Q19-INT(M19*0.15)))*10000/M19),INT((N19-MAX(0,P19-INT(M19*0.15)))*10000/M19)),IF(J19="volume",S19,R19))</f>
        <v/>
      </c>
      <c r="U19">
        <f>IF(AND(ROUND(I19*100,0)&lt;=IF(J19="volume",S19,R19)+50,ROUND(I19*100,0)&lt;=T19+50),"SUPPORTED","NOT_SUPPORTED")</f>
        <v/>
      </c>
      <c r="V19">
        <f>U19=L19</f>
        <v/>
      </c>
    </row>
    <row r="21">
      <c r="A21" t="inlineStr">
        <is>
          <t>correct</t>
        </is>
      </c>
      <c r="B21">
        <f>COUNTIF(V2:V19,TRUE)</f>
        <v/>
      </c>
      <c r="C21" t="inlineStr">
        <is>
          <t>of</t>
        </is>
      </c>
      <c r="D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dow</t>
        </is>
      </c>
      <c r="F1" s="1" t="inlineStr">
        <is>
          <t>use</t>
        </is>
      </c>
      <c r="G1" s="1" t="inlineStr">
        <is>
          <t>solar</t>
        </is>
      </c>
      <c r="H1" s="1" t="inlineStr">
        <is>
          <t>wind</t>
        </is>
      </c>
      <c r="I1" s="1" t="inlineStr">
        <is>
          <t>hydro</t>
        </is>
      </c>
      <c r="J1" s="1" t="inlineStr">
        <is>
          <t>certs</t>
        </is>
      </c>
      <c r="K1" s="1" t="inlineStr">
        <is>
          <t>old_certs</t>
        </is>
      </c>
      <c r="L1" s="1" t="inlineStr">
        <is>
          <t>matched</t>
        </is>
      </c>
      <c r="M1" s="1" t="inlineStr">
        <is>
          <t>old_matched</t>
        </is>
      </c>
    </row>
    <row r="2">
      <c r="A2" t="inlineStr">
        <is>
          <t>NORTHBAY-FAB</t>
        </is>
      </c>
      <c r="B2" t="inlineStr">
        <is>
          <t>2026-09-22</t>
        </is>
      </c>
      <c r="C2" t="n">
        <v>1</v>
      </c>
      <c r="D2" t="n">
        <v>0</v>
      </c>
      <c r="E2" t="n">
        <v>2</v>
      </c>
      <c r="F2" t="n">
        <v>12960</v>
      </c>
      <c r="G2" t="n">
        <v>0</v>
      </c>
      <c r="H2" t="n">
        <v>15794</v>
      </c>
      <c r="I2" t="n">
        <v>0</v>
      </c>
      <c r="J2" t="n">
        <v>15794</v>
      </c>
      <c r="K2" t="n">
        <v>0</v>
      </c>
      <c r="L2">
        <f>MIN(F2,J2)</f>
        <v/>
      </c>
      <c r="M2">
        <f>MIN(K2,MAX(0,F2-(J2-K2)))</f>
        <v/>
      </c>
    </row>
    <row r="3">
      <c r="A3" t="inlineStr">
        <is>
          <t>NORTHBAY-FAB</t>
        </is>
      </c>
      <c r="B3" t="inlineStr">
        <is>
          <t>2026-09-22</t>
        </is>
      </c>
      <c r="C3" t="n">
        <v>1</v>
      </c>
      <c r="D3" t="n">
        <v>1</v>
      </c>
      <c r="E3" t="n">
        <v>2</v>
      </c>
      <c r="F3" t="n">
        <v>12960</v>
      </c>
      <c r="G3" t="n">
        <v>0</v>
      </c>
      <c r="H3" t="n">
        <v>15290</v>
      </c>
      <c r="I3" t="n">
        <v>0</v>
      </c>
      <c r="J3" t="n">
        <v>15290</v>
      </c>
      <c r="K3" t="n">
        <v>0</v>
      </c>
      <c r="L3">
        <f>MIN(F3,J3)</f>
        <v/>
      </c>
      <c r="M3">
        <f>MIN(K3,MAX(0,F3-(J3-K3)))</f>
        <v/>
      </c>
    </row>
    <row r="4">
      <c r="A4" t="inlineStr">
        <is>
          <t>NORTHBAY-FAB</t>
        </is>
      </c>
      <c r="B4" t="inlineStr">
        <is>
          <t>2026-09-22</t>
        </is>
      </c>
      <c r="C4" t="n">
        <v>1</v>
      </c>
      <c r="D4" t="n">
        <v>2</v>
      </c>
      <c r="E4" t="n">
        <v>2</v>
      </c>
      <c r="F4" t="n">
        <v>12960</v>
      </c>
      <c r="G4" t="n">
        <v>0</v>
      </c>
      <c r="H4" t="n">
        <v>14587</v>
      </c>
      <c r="I4" t="n">
        <v>0</v>
      </c>
      <c r="J4" t="n">
        <v>14587</v>
      </c>
      <c r="K4" t="n">
        <v>0</v>
      </c>
      <c r="L4">
        <f>MIN(F4,J4)</f>
        <v/>
      </c>
      <c r="M4">
        <f>MIN(K4,MAX(0,F4-(J4-K4)))</f>
        <v/>
      </c>
    </row>
    <row r="5">
      <c r="A5" t="inlineStr">
        <is>
          <t>NORTHBAY-FAB</t>
        </is>
      </c>
      <c r="B5" t="inlineStr">
        <is>
          <t>2026-09-22</t>
        </is>
      </c>
      <c r="C5" t="n">
        <v>1</v>
      </c>
      <c r="D5" t="n">
        <v>3</v>
      </c>
      <c r="E5" t="n">
        <v>2</v>
      </c>
      <c r="F5" t="n">
        <v>12960</v>
      </c>
      <c r="G5" t="n">
        <v>0</v>
      </c>
      <c r="H5" t="n">
        <v>13994</v>
      </c>
      <c r="I5" t="n">
        <v>0</v>
      </c>
      <c r="J5" t="n">
        <v>13994</v>
      </c>
      <c r="K5" t="n">
        <v>0</v>
      </c>
      <c r="L5">
        <f>MIN(F5,J5)</f>
        <v/>
      </c>
      <c r="M5">
        <f>MIN(K5,MAX(0,F5-(J5-K5)))</f>
        <v/>
      </c>
    </row>
    <row r="6">
      <c r="A6" t="inlineStr">
        <is>
          <t>NORTHBAY-FAB</t>
        </is>
      </c>
      <c r="B6" t="inlineStr">
        <is>
          <t>2026-09-22</t>
        </is>
      </c>
      <c r="C6" t="n">
        <v>1</v>
      </c>
      <c r="D6" t="n">
        <v>4</v>
      </c>
      <c r="E6" t="n">
        <v>2</v>
      </c>
      <c r="F6" t="n">
        <v>12960</v>
      </c>
      <c r="G6" t="n">
        <v>0</v>
      </c>
      <c r="H6" t="n">
        <v>13862</v>
      </c>
      <c r="I6" t="n">
        <v>0</v>
      </c>
      <c r="J6" t="n">
        <v>13862</v>
      </c>
      <c r="K6" t="n">
        <v>0</v>
      </c>
      <c r="L6">
        <f>MIN(F6,J6)</f>
        <v/>
      </c>
      <c r="M6">
        <f>MIN(K6,MAX(0,F6-(J6-K6)))</f>
        <v/>
      </c>
    </row>
    <row r="7">
      <c r="A7" t="inlineStr">
        <is>
          <t>NORTHBAY-FAB</t>
        </is>
      </c>
      <c r="B7" t="inlineStr">
        <is>
          <t>2026-09-22</t>
        </is>
      </c>
      <c r="C7" t="n">
        <v>1</v>
      </c>
      <c r="D7" t="n">
        <v>5</v>
      </c>
      <c r="E7" t="n">
        <v>2</v>
      </c>
      <c r="F7" t="n">
        <v>12960</v>
      </c>
      <c r="G7" t="n">
        <v>23</v>
      </c>
      <c r="H7" t="n">
        <v>15088</v>
      </c>
      <c r="I7" t="n">
        <v>0</v>
      </c>
      <c r="J7" t="n">
        <v>15111</v>
      </c>
      <c r="K7" t="n">
        <v>0</v>
      </c>
      <c r="L7">
        <f>MIN(F7,J7)</f>
        <v/>
      </c>
      <c r="M7">
        <f>MIN(K7,MAX(0,F7-(J7-K7)))</f>
        <v/>
      </c>
    </row>
    <row r="8">
      <c r="A8" t="inlineStr">
        <is>
          <t>NORTHBAY-FAB</t>
        </is>
      </c>
      <c r="B8" t="inlineStr">
        <is>
          <t>2026-09-22</t>
        </is>
      </c>
      <c r="C8" t="n">
        <v>1</v>
      </c>
      <c r="D8" t="n">
        <v>6</v>
      </c>
      <c r="E8" t="n">
        <v>2</v>
      </c>
      <c r="F8" t="n">
        <v>12960</v>
      </c>
      <c r="G8" t="n">
        <v>878</v>
      </c>
      <c r="H8" t="n">
        <v>16342</v>
      </c>
      <c r="I8" t="n">
        <v>0</v>
      </c>
      <c r="J8" t="n">
        <v>17220</v>
      </c>
      <c r="K8" t="n">
        <v>0</v>
      </c>
      <c r="L8">
        <f>MIN(F8,J8)</f>
        <v/>
      </c>
      <c r="M8">
        <f>MIN(K8,MAX(0,F8-(J8-K8)))</f>
        <v/>
      </c>
    </row>
    <row r="9">
      <c r="A9" t="inlineStr">
        <is>
          <t>NORTHBAY-FAB</t>
        </is>
      </c>
      <c r="B9" t="inlineStr">
        <is>
          <t>2026-09-22</t>
        </is>
      </c>
      <c r="C9" t="n">
        <v>1</v>
      </c>
      <c r="D9" t="n">
        <v>7</v>
      </c>
      <c r="E9" t="n">
        <v>2</v>
      </c>
      <c r="F9" t="n">
        <v>12960</v>
      </c>
      <c r="G9" t="n">
        <v>5902</v>
      </c>
      <c r="H9" t="n">
        <v>17140</v>
      </c>
      <c r="I9" t="n">
        <v>0</v>
      </c>
      <c r="J9" t="n">
        <v>23042</v>
      </c>
      <c r="K9" t="n">
        <v>0</v>
      </c>
      <c r="L9">
        <f>MIN(F9,J9)</f>
        <v/>
      </c>
      <c r="M9">
        <f>MIN(K9,MAX(0,F9-(J9-K9)))</f>
        <v/>
      </c>
    </row>
    <row r="10">
      <c r="A10" t="inlineStr">
        <is>
          <t>NORTHBAY-FAB</t>
        </is>
      </c>
      <c r="B10" t="inlineStr">
        <is>
          <t>2026-09-22</t>
        </is>
      </c>
      <c r="C10" t="n">
        <v>1</v>
      </c>
      <c r="D10" t="n">
        <v>8</v>
      </c>
      <c r="E10" t="n">
        <v>2</v>
      </c>
      <c r="F10" t="n">
        <v>12960</v>
      </c>
      <c r="G10" t="n">
        <v>11949</v>
      </c>
      <c r="H10" t="n">
        <v>16908</v>
      </c>
      <c r="I10" t="n">
        <v>0</v>
      </c>
      <c r="J10" t="n">
        <v>28857</v>
      </c>
      <c r="K10" t="n">
        <v>0</v>
      </c>
      <c r="L10">
        <f>MIN(F10,J10)</f>
        <v/>
      </c>
      <c r="M10">
        <f>MIN(K10,MAX(0,F10-(J10-K10)))</f>
        <v/>
      </c>
    </row>
    <row r="11">
      <c r="A11" t="inlineStr">
        <is>
          <t>NORTHBAY-FAB</t>
        </is>
      </c>
      <c r="B11" t="inlineStr">
        <is>
          <t>2026-09-22</t>
        </is>
      </c>
      <c r="C11" t="n">
        <v>1</v>
      </c>
      <c r="D11" t="n">
        <v>9</v>
      </c>
      <c r="E11" t="n">
        <v>2</v>
      </c>
      <c r="F11" t="n">
        <v>12960</v>
      </c>
      <c r="G11" t="n">
        <v>17063</v>
      </c>
      <c r="H11" t="n">
        <v>16422</v>
      </c>
      <c r="I11" t="n">
        <v>0</v>
      </c>
      <c r="J11" t="n">
        <v>33485</v>
      </c>
      <c r="K11" t="n">
        <v>0</v>
      </c>
      <c r="L11">
        <f>MIN(F11,J11)</f>
        <v/>
      </c>
      <c r="M11">
        <f>MIN(K11,MAX(0,F11-(J11-K11)))</f>
        <v/>
      </c>
    </row>
    <row r="12">
      <c r="A12" t="inlineStr">
        <is>
          <t>NORTHBAY-FAB</t>
        </is>
      </c>
      <c r="B12" t="inlineStr">
        <is>
          <t>2026-09-22</t>
        </is>
      </c>
      <c r="C12" t="n">
        <v>1</v>
      </c>
      <c r="D12" t="n">
        <v>10</v>
      </c>
      <c r="E12" t="n">
        <v>2</v>
      </c>
      <c r="F12" t="n">
        <v>12960</v>
      </c>
      <c r="G12" t="n">
        <v>20023</v>
      </c>
      <c r="H12" t="n">
        <v>13787</v>
      </c>
      <c r="I12" t="n">
        <v>0</v>
      </c>
      <c r="J12" t="n">
        <v>33810</v>
      </c>
      <c r="K12" t="n">
        <v>0</v>
      </c>
      <c r="L12">
        <f>MIN(F12,J12)</f>
        <v/>
      </c>
      <c r="M12">
        <f>MIN(K12,MAX(0,F12-(J12-K12)))</f>
        <v/>
      </c>
    </row>
    <row r="13">
      <c r="A13" t="inlineStr">
        <is>
          <t>NORTHBAY-FAB</t>
        </is>
      </c>
      <c r="B13" t="inlineStr">
        <is>
          <t>2026-09-22</t>
        </is>
      </c>
      <c r="C13" t="n">
        <v>1</v>
      </c>
      <c r="D13" t="n">
        <v>11</v>
      </c>
      <c r="E13" t="n">
        <v>2</v>
      </c>
      <c r="F13" t="n">
        <v>12960</v>
      </c>
      <c r="G13" t="n">
        <v>21862</v>
      </c>
      <c r="H13" t="n">
        <v>11938</v>
      </c>
      <c r="I13" t="n">
        <v>0</v>
      </c>
      <c r="J13" t="n">
        <v>33800</v>
      </c>
      <c r="K13" t="n">
        <v>0</v>
      </c>
      <c r="L13">
        <f>MIN(F13,J13)</f>
        <v/>
      </c>
      <c r="M13">
        <f>MIN(K13,MAX(0,F13-(J13-K13)))</f>
        <v/>
      </c>
    </row>
    <row r="14">
      <c r="A14" t="inlineStr">
        <is>
          <t>NORTHBAY-FAB</t>
        </is>
      </c>
      <c r="B14" t="inlineStr">
        <is>
          <t>2026-09-22</t>
        </is>
      </c>
      <c r="C14" t="n">
        <v>1</v>
      </c>
      <c r="D14" t="n">
        <v>12</v>
      </c>
      <c r="E14" t="n">
        <v>2</v>
      </c>
      <c r="F14" t="n">
        <v>12960</v>
      </c>
      <c r="G14" t="n">
        <v>22236</v>
      </c>
      <c r="H14" t="n">
        <v>11744</v>
      </c>
      <c r="I14" t="n">
        <v>0</v>
      </c>
      <c r="J14" t="n">
        <v>33980</v>
      </c>
      <c r="K14" t="n">
        <v>0</v>
      </c>
      <c r="L14">
        <f>MIN(F14,J14)</f>
        <v/>
      </c>
      <c r="M14">
        <f>MIN(K14,MAX(0,F14-(J14-K14)))</f>
        <v/>
      </c>
    </row>
    <row r="15">
      <c r="A15" t="inlineStr">
        <is>
          <t>NORTHBAY-FAB</t>
        </is>
      </c>
      <c r="B15" t="inlineStr">
        <is>
          <t>2026-09-22</t>
        </is>
      </c>
      <c r="C15" t="n">
        <v>1</v>
      </c>
      <c r="D15" t="n">
        <v>13</v>
      </c>
      <c r="E15" t="n">
        <v>2</v>
      </c>
      <c r="F15" t="n">
        <v>12960</v>
      </c>
      <c r="G15" t="n">
        <v>20281</v>
      </c>
      <c r="H15" t="n">
        <v>14300</v>
      </c>
      <c r="I15" t="n">
        <v>0</v>
      </c>
      <c r="J15" t="n">
        <v>34581</v>
      </c>
      <c r="K15" t="n">
        <v>0</v>
      </c>
      <c r="L15">
        <f>MIN(F15,J15)</f>
        <v/>
      </c>
      <c r="M15">
        <f>MIN(K15,MAX(0,F15-(J15-K15)))</f>
        <v/>
      </c>
    </row>
    <row r="16">
      <c r="A16" t="inlineStr">
        <is>
          <t>NORTHBAY-FAB</t>
        </is>
      </c>
      <c r="B16" t="inlineStr">
        <is>
          <t>2026-09-22</t>
        </is>
      </c>
      <c r="C16" t="n">
        <v>1</v>
      </c>
      <c r="D16" t="n">
        <v>14</v>
      </c>
      <c r="E16" t="n">
        <v>2</v>
      </c>
      <c r="F16" t="n">
        <v>12960</v>
      </c>
      <c r="G16" t="n">
        <v>17475</v>
      </c>
      <c r="H16" t="n">
        <v>16194</v>
      </c>
      <c r="I16" t="n">
        <v>0</v>
      </c>
      <c r="J16" t="n">
        <v>33669</v>
      </c>
      <c r="K16" t="n">
        <v>0</v>
      </c>
      <c r="L16">
        <f>MIN(F16,J16)</f>
        <v/>
      </c>
      <c r="M16">
        <f>MIN(K16,MAX(0,F16-(J16-K16)))</f>
        <v/>
      </c>
    </row>
    <row r="17">
      <c r="A17" t="inlineStr">
        <is>
          <t>NORTHBAY-FAB</t>
        </is>
      </c>
      <c r="B17" t="inlineStr">
        <is>
          <t>2026-09-22</t>
        </is>
      </c>
      <c r="C17" t="n">
        <v>1</v>
      </c>
      <c r="D17" t="n">
        <v>15</v>
      </c>
      <c r="E17" t="n">
        <v>2</v>
      </c>
      <c r="F17" t="n">
        <v>12960</v>
      </c>
      <c r="G17" t="n">
        <v>12825</v>
      </c>
      <c r="H17" t="n">
        <v>18384</v>
      </c>
      <c r="I17" t="n">
        <v>0</v>
      </c>
      <c r="J17" t="n">
        <v>31209</v>
      </c>
      <c r="K17" t="n">
        <v>0</v>
      </c>
      <c r="L17">
        <f>MIN(F17,J17)</f>
        <v/>
      </c>
      <c r="M17">
        <f>MIN(K17,MAX(0,F17-(J17-K17)))</f>
        <v/>
      </c>
    </row>
    <row r="18">
      <c r="A18" t="inlineStr">
        <is>
          <t>NORTHBAY-FAB</t>
        </is>
      </c>
      <c r="B18" t="inlineStr">
        <is>
          <t>2026-09-22</t>
        </is>
      </c>
      <c r="C18" t="n">
        <v>1</v>
      </c>
      <c r="D18" t="n">
        <v>16</v>
      </c>
      <c r="E18" t="n">
        <v>2</v>
      </c>
      <c r="F18" t="n">
        <v>12960</v>
      </c>
      <c r="G18" t="n">
        <v>6861</v>
      </c>
      <c r="H18" t="n">
        <v>19368</v>
      </c>
      <c r="I18" t="n">
        <v>0</v>
      </c>
      <c r="J18" t="n">
        <v>26229</v>
      </c>
      <c r="K18" t="n">
        <v>0</v>
      </c>
      <c r="L18">
        <f>MIN(F18,J18)</f>
        <v/>
      </c>
      <c r="M18">
        <f>MIN(K18,MAX(0,F18-(J18-K18)))</f>
        <v/>
      </c>
    </row>
    <row r="19">
      <c r="A19" t="inlineStr">
        <is>
          <t>NORTHBAY-FAB</t>
        </is>
      </c>
      <c r="B19" t="inlineStr">
        <is>
          <t>2026-09-22</t>
        </is>
      </c>
      <c r="C19" t="n">
        <v>1</v>
      </c>
      <c r="D19" t="n">
        <v>17</v>
      </c>
      <c r="E19" t="n">
        <v>2</v>
      </c>
      <c r="F19" t="n">
        <v>12960</v>
      </c>
      <c r="G19" t="n">
        <v>1781</v>
      </c>
      <c r="H19" t="n">
        <v>19578</v>
      </c>
      <c r="I19" t="n">
        <v>0</v>
      </c>
      <c r="J19" t="n">
        <v>21359</v>
      </c>
      <c r="K19" t="n">
        <v>0</v>
      </c>
      <c r="L19">
        <f>MIN(F19,J19)</f>
        <v/>
      </c>
      <c r="M19">
        <f>MIN(K19,MAX(0,F19-(J19-K19)))</f>
        <v/>
      </c>
    </row>
    <row r="20">
      <c r="A20" t="inlineStr">
        <is>
          <t>NORTHBAY-FAB</t>
        </is>
      </c>
      <c r="B20" t="inlineStr">
        <is>
          <t>2026-09-22</t>
        </is>
      </c>
      <c r="C20" t="n">
        <v>1</v>
      </c>
      <c r="D20" t="n">
        <v>18</v>
      </c>
      <c r="E20" t="n">
        <v>2</v>
      </c>
      <c r="F20" t="n">
        <v>12960</v>
      </c>
      <c r="G20" t="n">
        <v>0</v>
      </c>
      <c r="H20" t="n">
        <v>20000</v>
      </c>
      <c r="I20" t="n">
        <v>0</v>
      </c>
      <c r="J20" t="n">
        <v>20000</v>
      </c>
      <c r="K20" t="n">
        <v>0</v>
      </c>
      <c r="L20">
        <f>MIN(F20,J20)</f>
        <v/>
      </c>
      <c r="M20">
        <f>MIN(K20,MAX(0,F20-(J20-K20)))</f>
        <v/>
      </c>
    </row>
    <row r="21">
      <c r="A21" t="inlineStr">
        <is>
          <t>NORTHBAY-FAB</t>
        </is>
      </c>
      <c r="B21" t="inlineStr">
        <is>
          <t>2026-09-22</t>
        </is>
      </c>
      <c r="C21" t="n">
        <v>1</v>
      </c>
      <c r="D21" t="n">
        <v>19</v>
      </c>
      <c r="E21" t="n">
        <v>2</v>
      </c>
      <c r="F21" t="n">
        <v>12960</v>
      </c>
      <c r="G21" t="n">
        <v>0</v>
      </c>
      <c r="H21" t="n">
        <v>19027</v>
      </c>
      <c r="I21" t="n">
        <v>0</v>
      </c>
      <c r="J21" t="n">
        <v>19027</v>
      </c>
      <c r="K21" t="n">
        <v>0</v>
      </c>
      <c r="L21">
        <f>MIN(F21,J21)</f>
        <v/>
      </c>
      <c r="M21">
        <f>MIN(K21,MAX(0,F21-(J21-K21)))</f>
        <v/>
      </c>
    </row>
    <row r="22">
      <c r="A22" t="inlineStr">
        <is>
          <t>NORTHBAY-FAB</t>
        </is>
      </c>
      <c r="B22" t="inlineStr">
        <is>
          <t>2026-09-22</t>
        </is>
      </c>
      <c r="C22" t="n">
        <v>1</v>
      </c>
      <c r="D22" t="n">
        <v>20</v>
      </c>
      <c r="E22" t="n">
        <v>2</v>
      </c>
      <c r="F22" t="n">
        <v>12960</v>
      </c>
      <c r="G22" t="n">
        <v>0</v>
      </c>
      <c r="H22" t="n">
        <v>16081</v>
      </c>
      <c r="I22" t="n">
        <v>0</v>
      </c>
      <c r="J22" t="n">
        <v>16081</v>
      </c>
      <c r="K22" t="n">
        <v>0</v>
      </c>
      <c r="L22">
        <f>MIN(F22,J22)</f>
        <v/>
      </c>
      <c r="M22">
        <f>MIN(K22,MAX(0,F22-(J22-K22)))</f>
        <v/>
      </c>
    </row>
    <row r="23">
      <c r="A23" t="inlineStr">
        <is>
          <t>NORTHBAY-FAB</t>
        </is>
      </c>
      <c r="B23" t="inlineStr">
        <is>
          <t>2026-09-22</t>
        </is>
      </c>
      <c r="C23" t="n">
        <v>1</v>
      </c>
      <c r="D23" t="n">
        <v>21</v>
      </c>
      <c r="E23" t="n">
        <v>2</v>
      </c>
      <c r="F23" t="n">
        <v>12960</v>
      </c>
      <c r="G23" t="n">
        <v>0</v>
      </c>
      <c r="H23" t="n">
        <v>12328</v>
      </c>
      <c r="I23" t="n">
        <v>0</v>
      </c>
      <c r="J23" t="n">
        <v>12328</v>
      </c>
      <c r="K23" t="n">
        <v>0</v>
      </c>
      <c r="L23">
        <f>MIN(F23,J23)</f>
        <v/>
      </c>
      <c r="M23">
        <f>MIN(K23,MAX(0,F23-(J23-K23)))</f>
        <v/>
      </c>
    </row>
    <row r="24">
      <c r="A24" t="inlineStr">
        <is>
          <t>NORTHBAY-FAB</t>
        </is>
      </c>
      <c r="B24" t="inlineStr">
        <is>
          <t>2026-09-22</t>
        </is>
      </c>
      <c r="C24" t="n">
        <v>1</v>
      </c>
      <c r="D24" t="n">
        <v>22</v>
      </c>
      <c r="E24" t="n">
        <v>2</v>
      </c>
      <c r="F24" t="n">
        <v>12960</v>
      </c>
      <c r="G24" t="n">
        <v>0</v>
      </c>
      <c r="H24" t="n">
        <v>8229</v>
      </c>
      <c r="I24" t="n">
        <v>0</v>
      </c>
      <c r="J24" t="n">
        <v>8229</v>
      </c>
      <c r="K24" t="n">
        <v>0</v>
      </c>
      <c r="L24">
        <f>MIN(F24,J24)</f>
        <v/>
      </c>
      <c r="M24">
        <f>MIN(K24,MAX(0,F24-(J24-K24)))</f>
        <v/>
      </c>
    </row>
    <row r="25">
      <c r="A25" t="inlineStr">
        <is>
          <t>NORTHBAY-FAB</t>
        </is>
      </c>
      <c r="B25" t="inlineStr">
        <is>
          <t>2026-09-22</t>
        </is>
      </c>
      <c r="C25" t="n">
        <v>1</v>
      </c>
      <c r="D25" t="n">
        <v>23</v>
      </c>
      <c r="E25" t="n">
        <v>2</v>
      </c>
      <c r="F25" t="n">
        <v>12960</v>
      </c>
      <c r="G25" t="n">
        <v>0</v>
      </c>
      <c r="H25" t="n">
        <v>6529</v>
      </c>
      <c r="I25" t="n">
        <v>0</v>
      </c>
      <c r="J25" t="n">
        <v>6529</v>
      </c>
      <c r="K25" t="n">
        <v>0</v>
      </c>
      <c r="L25">
        <f>MIN(F25,J25)</f>
        <v/>
      </c>
      <c r="M25">
        <f>MIN(K25,MAX(0,F25-(J25-K25)))</f>
        <v/>
      </c>
    </row>
    <row r="26">
      <c r="A26" t="inlineStr">
        <is>
          <t>NORTHBAY-FAB</t>
        </is>
      </c>
      <c r="B26" t="inlineStr">
        <is>
          <t>2026-09-23</t>
        </is>
      </c>
      <c r="C26" t="n">
        <v>2</v>
      </c>
      <c r="D26" t="n">
        <v>0</v>
      </c>
      <c r="E26" t="n">
        <v>3</v>
      </c>
      <c r="F26" t="n">
        <v>12960</v>
      </c>
      <c r="G26" t="n">
        <v>0</v>
      </c>
      <c r="H26" t="n">
        <v>6642</v>
      </c>
      <c r="I26" t="n">
        <v>0</v>
      </c>
      <c r="J26" t="n">
        <v>6642</v>
      </c>
      <c r="K26" t="n">
        <v>0</v>
      </c>
      <c r="L26">
        <f>MIN(F26,J26)</f>
        <v/>
      </c>
      <c r="M26">
        <f>MIN(K26,MAX(0,F26-(J26-K26)))</f>
        <v/>
      </c>
    </row>
    <row r="27">
      <c r="A27" t="inlineStr">
        <is>
          <t>NORTHBAY-FAB</t>
        </is>
      </c>
      <c r="B27" t="inlineStr">
        <is>
          <t>2026-09-23</t>
        </is>
      </c>
      <c r="C27" t="n">
        <v>2</v>
      </c>
      <c r="D27" t="n">
        <v>1</v>
      </c>
      <c r="E27" t="n">
        <v>3</v>
      </c>
      <c r="F27" t="n">
        <v>12960</v>
      </c>
      <c r="G27" t="n">
        <v>0</v>
      </c>
      <c r="H27" t="n">
        <v>7644</v>
      </c>
      <c r="I27" t="n">
        <v>0</v>
      </c>
      <c r="J27" t="n">
        <v>7644</v>
      </c>
      <c r="K27" t="n">
        <v>0</v>
      </c>
      <c r="L27">
        <f>MIN(F27,J27)</f>
        <v/>
      </c>
      <c r="M27">
        <f>MIN(K27,MAX(0,F27-(J27-K27)))</f>
        <v/>
      </c>
    </row>
    <row r="28">
      <c r="A28" t="inlineStr">
        <is>
          <t>NORTHBAY-FAB</t>
        </is>
      </c>
      <c r="B28" t="inlineStr">
        <is>
          <t>2026-09-23</t>
        </is>
      </c>
      <c r="C28" t="n">
        <v>2</v>
      </c>
      <c r="D28" t="n">
        <v>2</v>
      </c>
      <c r="E28" t="n">
        <v>3</v>
      </c>
      <c r="F28" t="n">
        <v>12960</v>
      </c>
      <c r="G28" t="n">
        <v>0</v>
      </c>
      <c r="H28" t="n">
        <v>8197</v>
      </c>
      <c r="I28" t="n">
        <v>0</v>
      </c>
      <c r="J28" t="n">
        <v>8197</v>
      </c>
      <c r="K28" t="n">
        <v>0</v>
      </c>
      <c r="L28">
        <f>MIN(F28,J28)</f>
        <v/>
      </c>
      <c r="M28">
        <f>MIN(K28,MAX(0,F28-(J28-K28)))</f>
        <v/>
      </c>
    </row>
    <row r="29">
      <c r="A29" t="inlineStr">
        <is>
          <t>NORTHBAY-FAB</t>
        </is>
      </c>
      <c r="B29" t="inlineStr">
        <is>
          <t>2026-09-23</t>
        </is>
      </c>
      <c r="C29" t="n">
        <v>2</v>
      </c>
      <c r="D29" t="n">
        <v>3</v>
      </c>
      <c r="E29" t="n">
        <v>3</v>
      </c>
      <c r="F29" t="n">
        <v>12960</v>
      </c>
      <c r="G29" t="n">
        <v>0</v>
      </c>
      <c r="H29" t="n">
        <v>10234</v>
      </c>
      <c r="I29" t="n">
        <v>0</v>
      </c>
      <c r="J29" t="n">
        <v>10234</v>
      </c>
      <c r="K29" t="n">
        <v>0</v>
      </c>
      <c r="L29">
        <f>MIN(F29,J29)</f>
        <v/>
      </c>
      <c r="M29">
        <f>MIN(K29,MAX(0,F29-(J29-K29)))</f>
        <v/>
      </c>
    </row>
    <row r="30">
      <c r="A30" t="inlineStr">
        <is>
          <t>NORTHBAY-FAB</t>
        </is>
      </c>
      <c r="B30" t="inlineStr">
        <is>
          <t>2026-09-23</t>
        </is>
      </c>
      <c r="C30" t="n">
        <v>2</v>
      </c>
      <c r="D30" t="n">
        <v>4</v>
      </c>
      <c r="E30" t="n">
        <v>3</v>
      </c>
      <c r="F30" t="n">
        <v>12960</v>
      </c>
      <c r="G30" t="n">
        <v>0</v>
      </c>
      <c r="H30" t="n">
        <v>11013</v>
      </c>
      <c r="I30" t="n">
        <v>0</v>
      </c>
      <c r="J30" t="n">
        <v>11013</v>
      </c>
      <c r="K30" t="n">
        <v>0</v>
      </c>
      <c r="L30">
        <f>MIN(F30,J30)</f>
        <v/>
      </c>
      <c r="M30">
        <f>MIN(K30,MAX(0,F30-(J30-K30)))</f>
        <v/>
      </c>
    </row>
    <row r="31">
      <c r="A31" t="inlineStr">
        <is>
          <t>NORTHBAY-FAB</t>
        </is>
      </c>
      <c r="B31" t="inlineStr">
        <is>
          <t>2026-09-23</t>
        </is>
      </c>
      <c r="C31" t="n">
        <v>2</v>
      </c>
      <c r="D31" t="n">
        <v>5</v>
      </c>
      <c r="E31" t="n">
        <v>3</v>
      </c>
      <c r="F31" t="n">
        <v>12960</v>
      </c>
      <c r="G31" t="n">
        <v>19</v>
      </c>
      <c r="H31" t="n">
        <v>10804</v>
      </c>
      <c r="I31" t="n">
        <v>0</v>
      </c>
      <c r="J31" t="n">
        <v>10823</v>
      </c>
      <c r="K31" t="n">
        <v>0</v>
      </c>
      <c r="L31">
        <f>MIN(F31,J31)</f>
        <v/>
      </c>
      <c r="M31">
        <f>MIN(K31,MAX(0,F31-(J31-K31)))</f>
        <v/>
      </c>
    </row>
    <row r="32">
      <c r="A32" t="inlineStr">
        <is>
          <t>NORTHBAY-FAB</t>
        </is>
      </c>
      <c r="B32" t="inlineStr">
        <is>
          <t>2026-09-23</t>
        </is>
      </c>
      <c r="C32" t="n">
        <v>2</v>
      </c>
      <c r="D32" t="n">
        <v>6</v>
      </c>
      <c r="E32" t="n">
        <v>3</v>
      </c>
      <c r="F32" t="n">
        <v>12960</v>
      </c>
      <c r="G32" t="n">
        <v>963</v>
      </c>
      <c r="H32" t="n">
        <v>9795</v>
      </c>
      <c r="I32" t="n">
        <v>0</v>
      </c>
      <c r="J32" t="n">
        <v>10758</v>
      </c>
      <c r="K32" t="n">
        <v>0</v>
      </c>
      <c r="L32">
        <f>MIN(F32,J32)</f>
        <v/>
      </c>
      <c r="M32">
        <f>MIN(K32,MAX(0,F32-(J32-K32)))</f>
        <v/>
      </c>
    </row>
    <row r="33">
      <c r="A33" t="inlineStr">
        <is>
          <t>NORTHBAY-FAB</t>
        </is>
      </c>
      <c r="B33" t="inlineStr">
        <is>
          <t>2026-09-23</t>
        </is>
      </c>
      <c r="C33" t="n">
        <v>2</v>
      </c>
      <c r="D33" t="n">
        <v>7</v>
      </c>
      <c r="E33" t="n">
        <v>3</v>
      </c>
      <c r="F33" t="n">
        <v>12960</v>
      </c>
      <c r="G33" t="n">
        <v>6635</v>
      </c>
      <c r="H33" t="n">
        <v>8793</v>
      </c>
      <c r="I33" t="n">
        <v>0</v>
      </c>
      <c r="J33" t="n">
        <v>15428</v>
      </c>
      <c r="K33" t="n">
        <v>0</v>
      </c>
      <c r="L33">
        <f>MIN(F33,J33)</f>
        <v/>
      </c>
      <c r="M33">
        <f>MIN(K33,MAX(0,F33-(J33-K33)))</f>
        <v/>
      </c>
    </row>
    <row r="34">
      <c r="A34" t="inlineStr">
        <is>
          <t>NORTHBAY-FAB</t>
        </is>
      </c>
      <c r="B34" t="inlineStr">
        <is>
          <t>2026-09-23</t>
        </is>
      </c>
      <c r="C34" t="n">
        <v>2</v>
      </c>
      <c r="D34" t="n">
        <v>8</v>
      </c>
      <c r="E34" t="n">
        <v>3</v>
      </c>
      <c r="F34" t="n">
        <v>12960</v>
      </c>
      <c r="G34" t="n">
        <v>13305</v>
      </c>
      <c r="H34" t="n">
        <v>8840</v>
      </c>
      <c r="I34" t="n">
        <v>0</v>
      </c>
      <c r="J34" t="n">
        <v>22145</v>
      </c>
      <c r="K34" t="n">
        <v>0</v>
      </c>
      <c r="L34">
        <f>MIN(F34,J34)</f>
        <v/>
      </c>
      <c r="M34">
        <f>MIN(K34,MAX(0,F34-(J34-K34)))</f>
        <v/>
      </c>
    </row>
    <row r="35">
      <c r="A35" t="inlineStr">
        <is>
          <t>NORTHBAY-FAB</t>
        </is>
      </c>
      <c r="B35" t="inlineStr">
        <is>
          <t>2026-09-23</t>
        </is>
      </c>
      <c r="C35" t="n">
        <v>2</v>
      </c>
      <c r="D35" t="n">
        <v>9</v>
      </c>
      <c r="E35" t="n">
        <v>3</v>
      </c>
      <c r="F35" t="n">
        <v>12960</v>
      </c>
      <c r="G35" t="n">
        <v>17028</v>
      </c>
      <c r="H35" t="n">
        <v>8408</v>
      </c>
      <c r="I35" t="n">
        <v>0</v>
      </c>
      <c r="J35" t="n">
        <v>25436</v>
      </c>
      <c r="K35" t="n">
        <v>0</v>
      </c>
      <c r="L35">
        <f>MIN(F35,J35)</f>
        <v/>
      </c>
      <c r="M35">
        <f>MIN(K35,MAX(0,F35-(J35-K35)))</f>
        <v/>
      </c>
    </row>
    <row r="36">
      <c r="A36" t="inlineStr">
        <is>
          <t>NORTHBAY-FAB</t>
        </is>
      </c>
      <c r="B36" t="inlineStr">
        <is>
          <t>2026-09-23</t>
        </is>
      </c>
      <c r="C36" t="n">
        <v>2</v>
      </c>
      <c r="D36" t="n">
        <v>10</v>
      </c>
      <c r="E36" t="n">
        <v>3</v>
      </c>
      <c r="F36" t="n">
        <v>12960</v>
      </c>
      <c r="G36" t="n">
        <v>18528</v>
      </c>
      <c r="H36" t="n">
        <v>7747</v>
      </c>
      <c r="I36" t="n">
        <v>0</v>
      </c>
      <c r="J36" t="n">
        <v>26275</v>
      </c>
      <c r="K36" t="n">
        <v>0</v>
      </c>
      <c r="L36">
        <f>MIN(F36,J36)</f>
        <v/>
      </c>
      <c r="M36">
        <f>MIN(K36,MAX(0,F36-(J36-K36)))</f>
        <v/>
      </c>
    </row>
    <row r="37">
      <c r="A37" t="inlineStr">
        <is>
          <t>NORTHBAY-FAB</t>
        </is>
      </c>
      <c r="B37" t="inlineStr">
        <is>
          <t>2026-09-23</t>
        </is>
      </c>
      <c r="C37" t="n">
        <v>2</v>
      </c>
      <c r="D37" t="n">
        <v>11</v>
      </c>
      <c r="E37" t="n">
        <v>3</v>
      </c>
      <c r="F37" t="n">
        <v>12960</v>
      </c>
      <c r="G37" t="n">
        <v>20058</v>
      </c>
      <c r="H37" t="n">
        <v>7791</v>
      </c>
      <c r="I37" t="n">
        <v>0</v>
      </c>
      <c r="J37" t="n">
        <v>27849</v>
      </c>
      <c r="K37" t="n">
        <v>0</v>
      </c>
      <c r="L37">
        <f>MIN(F37,J37)</f>
        <v/>
      </c>
      <c r="M37">
        <f>MIN(K37,MAX(0,F37-(J37-K37)))</f>
        <v/>
      </c>
    </row>
    <row r="38">
      <c r="A38" t="inlineStr">
        <is>
          <t>NORTHBAY-FAB</t>
        </is>
      </c>
      <c r="B38" t="inlineStr">
        <is>
          <t>2026-09-23</t>
        </is>
      </c>
      <c r="C38" t="n">
        <v>2</v>
      </c>
      <c r="D38" t="n">
        <v>12</v>
      </c>
      <c r="E38" t="n">
        <v>3</v>
      </c>
      <c r="F38" t="n">
        <v>12960</v>
      </c>
      <c r="G38" t="n">
        <v>20638</v>
      </c>
      <c r="H38" t="n">
        <v>9203</v>
      </c>
      <c r="I38" t="n">
        <v>0</v>
      </c>
      <c r="J38" t="n">
        <v>29841</v>
      </c>
      <c r="K38" t="n">
        <v>0</v>
      </c>
      <c r="L38">
        <f>MIN(F38,J38)</f>
        <v/>
      </c>
      <c r="M38">
        <f>MIN(K38,MAX(0,F38-(J38-K38)))</f>
        <v/>
      </c>
    </row>
    <row r="39">
      <c r="A39" t="inlineStr">
        <is>
          <t>NORTHBAY-FAB</t>
        </is>
      </c>
      <c r="B39" t="inlineStr">
        <is>
          <t>2026-09-23</t>
        </is>
      </c>
      <c r="C39" t="n">
        <v>2</v>
      </c>
      <c r="D39" t="n">
        <v>13</v>
      </c>
      <c r="E39" t="n">
        <v>3</v>
      </c>
      <c r="F39" t="n">
        <v>12960</v>
      </c>
      <c r="G39" t="n">
        <v>19681</v>
      </c>
      <c r="H39" t="n">
        <v>11364</v>
      </c>
      <c r="I39" t="n">
        <v>0</v>
      </c>
      <c r="J39" t="n">
        <v>31045</v>
      </c>
      <c r="K39" t="n">
        <v>0</v>
      </c>
      <c r="L39">
        <f>MIN(F39,J39)</f>
        <v/>
      </c>
      <c r="M39">
        <f>MIN(K39,MAX(0,F39-(J39-K39)))</f>
        <v/>
      </c>
    </row>
    <row r="40">
      <c r="A40" t="inlineStr">
        <is>
          <t>NORTHBAY-FAB</t>
        </is>
      </c>
      <c r="B40" t="inlineStr">
        <is>
          <t>2026-09-23</t>
        </is>
      </c>
      <c r="C40" t="n">
        <v>2</v>
      </c>
      <c r="D40" t="n">
        <v>14</v>
      </c>
      <c r="E40" t="n">
        <v>3</v>
      </c>
      <c r="F40" t="n">
        <v>12960</v>
      </c>
      <c r="G40" t="n">
        <v>18053</v>
      </c>
      <c r="H40" t="n">
        <v>13397</v>
      </c>
      <c r="I40" t="n">
        <v>0</v>
      </c>
      <c r="J40" t="n">
        <v>31450</v>
      </c>
      <c r="K40" t="n">
        <v>0</v>
      </c>
      <c r="L40">
        <f>MIN(F40,J40)</f>
        <v/>
      </c>
      <c r="M40">
        <f>MIN(K40,MAX(0,F40-(J40-K40)))</f>
        <v/>
      </c>
    </row>
    <row r="41">
      <c r="A41" t="inlineStr">
        <is>
          <t>NORTHBAY-FAB</t>
        </is>
      </c>
      <c r="B41" t="inlineStr">
        <is>
          <t>2026-09-23</t>
        </is>
      </c>
      <c r="C41" t="n">
        <v>2</v>
      </c>
      <c r="D41" t="n">
        <v>15</v>
      </c>
      <c r="E41" t="n">
        <v>3</v>
      </c>
      <c r="F41" t="n">
        <v>12960</v>
      </c>
      <c r="G41" t="n">
        <v>13384</v>
      </c>
      <c r="H41" t="n">
        <v>14317</v>
      </c>
      <c r="I41" t="n">
        <v>0</v>
      </c>
      <c r="J41" t="n">
        <v>27701</v>
      </c>
      <c r="K41" t="n">
        <v>0</v>
      </c>
      <c r="L41">
        <f>MIN(F41,J41)</f>
        <v/>
      </c>
      <c r="M41">
        <f>MIN(K41,MAX(0,F41-(J41-K41)))</f>
        <v/>
      </c>
    </row>
    <row r="42">
      <c r="A42" t="inlineStr">
        <is>
          <t>NORTHBAY-FAB</t>
        </is>
      </c>
      <c r="B42" t="inlineStr">
        <is>
          <t>2026-09-23</t>
        </is>
      </c>
      <c r="C42" t="n">
        <v>2</v>
      </c>
      <c r="D42" t="n">
        <v>16</v>
      </c>
      <c r="E42" t="n">
        <v>3</v>
      </c>
      <c r="F42" t="n">
        <v>12960</v>
      </c>
      <c r="G42" t="n">
        <v>7072</v>
      </c>
      <c r="H42" t="n">
        <v>15750</v>
      </c>
      <c r="I42" t="n">
        <v>0</v>
      </c>
      <c r="J42" t="n">
        <v>22822</v>
      </c>
      <c r="K42" t="n">
        <v>0</v>
      </c>
      <c r="L42">
        <f>MIN(F42,J42)</f>
        <v/>
      </c>
      <c r="M42">
        <f>MIN(K42,MAX(0,F42-(J42-K42)))</f>
        <v/>
      </c>
    </row>
    <row r="43">
      <c r="A43" t="inlineStr">
        <is>
          <t>NORTHBAY-FAB</t>
        </is>
      </c>
      <c r="B43" t="inlineStr">
        <is>
          <t>2026-09-23</t>
        </is>
      </c>
      <c r="C43" t="n">
        <v>2</v>
      </c>
      <c r="D43" t="n">
        <v>17</v>
      </c>
      <c r="E43" t="n">
        <v>3</v>
      </c>
      <c r="F43" t="n">
        <v>12960</v>
      </c>
      <c r="G43" t="n">
        <v>2077</v>
      </c>
      <c r="H43" t="n">
        <v>16085</v>
      </c>
      <c r="I43" t="n">
        <v>0</v>
      </c>
      <c r="J43" t="n">
        <v>18162</v>
      </c>
      <c r="K43" t="n">
        <v>0</v>
      </c>
      <c r="L43">
        <f>MIN(F43,J43)</f>
        <v/>
      </c>
      <c r="M43">
        <f>MIN(K43,MAX(0,F43-(J43-K43)))</f>
        <v/>
      </c>
    </row>
    <row r="44">
      <c r="A44" t="inlineStr">
        <is>
          <t>NORTHBAY-FAB</t>
        </is>
      </c>
      <c r="B44" t="inlineStr">
        <is>
          <t>2026-09-23</t>
        </is>
      </c>
      <c r="C44" t="n">
        <v>2</v>
      </c>
      <c r="D44" t="n">
        <v>18</v>
      </c>
      <c r="E44" t="n">
        <v>3</v>
      </c>
      <c r="F44" t="n">
        <v>12960</v>
      </c>
      <c r="G44" t="n">
        <v>0</v>
      </c>
      <c r="H44" t="n">
        <v>16042</v>
      </c>
      <c r="I44" t="n">
        <v>0</v>
      </c>
      <c r="J44" t="n">
        <v>16042</v>
      </c>
      <c r="K44" t="n">
        <v>0</v>
      </c>
      <c r="L44">
        <f>MIN(F44,J44)</f>
        <v/>
      </c>
      <c r="M44">
        <f>MIN(K44,MAX(0,F44-(J44-K44)))</f>
        <v/>
      </c>
    </row>
    <row r="45">
      <c r="A45" t="inlineStr">
        <is>
          <t>NORTHBAY-FAB</t>
        </is>
      </c>
      <c r="B45" t="inlineStr">
        <is>
          <t>2026-09-23</t>
        </is>
      </c>
      <c r="C45" t="n">
        <v>2</v>
      </c>
      <c r="D45" t="n">
        <v>19</v>
      </c>
      <c r="E45" t="n">
        <v>3</v>
      </c>
      <c r="F45" t="n">
        <v>12960</v>
      </c>
      <c r="G45" t="n">
        <v>0</v>
      </c>
      <c r="H45" t="n">
        <v>15275</v>
      </c>
      <c r="I45" t="n">
        <v>0</v>
      </c>
      <c r="J45" t="n">
        <v>15275</v>
      </c>
      <c r="K45" t="n">
        <v>0</v>
      </c>
      <c r="L45">
        <f>MIN(F45,J45)</f>
        <v/>
      </c>
      <c r="M45">
        <f>MIN(K45,MAX(0,F45-(J45-K45)))</f>
        <v/>
      </c>
    </row>
    <row r="46">
      <c r="A46" t="inlineStr">
        <is>
          <t>NORTHBAY-FAB</t>
        </is>
      </c>
      <c r="B46" t="inlineStr">
        <is>
          <t>2026-09-23</t>
        </is>
      </c>
      <c r="C46" t="n">
        <v>2</v>
      </c>
      <c r="D46" t="n">
        <v>20</v>
      </c>
      <c r="E46" t="n">
        <v>3</v>
      </c>
      <c r="F46" t="n">
        <v>12960</v>
      </c>
      <c r="G46" t="n">
        <v>0</v>
      </c>
      <c r="H46" t="n">
        <v>13284</v>
      </c>
      <c r="I46" t="n">
        <v>0</v>
      </c>
      <c r="J46" t="n">
        <v>13284</v>
      </c>
      <c r="K46" t="n">
        <v>0</v>
      </c>
      <c r="L46">
        <f>MIN(F46,J46)</f>
        <v/>
      </c>
      <c r="M46">
        <f>MIN(K46,MAX(0,F46-(J46-K46)))</f>
        <v/>
      </c>
    </row>
    <row r="47">
      <c r="A47" t="inlineStr">
        <is>
          <t>NORTHBAY-FAB</t>
        </is>
      </c>
      <c r="B47" t="inlineStr">
        <is>
          <t>2026-09-23</t>
        </is>
      </c>
      <c r="C47" t="n">
        <v>2</v>
      </c>
      <c r="D47" t="n">
        <v>21</v>
      </c>
      <c r="E47" t="n">
        <v>3</v>
      </c>
      <c r="F47" t="n">
        <v>12960</v>
      </c>
      <c r="G47" t="n">
        <v>0</v>
      </c>
      <c r="H47" t="n">
        <v>11135</v>
      </c>
      <c r="I47" t="n">
        <v>0</v>
      </c>
      <c r="J47" t="n">
        <v>11135</v>
      </c>
      <c r="K47" t="n">
        <v>0</v>
      </c>
      <c r="L47">
        <f>MIN(F47,J47)</f>
        <v/>
      </c>
      <c r="M47">
        <f>MIN(K47,MAX(0,F47-(J47-K47)))</f>
        <v/>
      </c>
    </row>
    <row r="48">
      <c r="A48" t="inlineStr">
        <is>
          <t>NORTHBAY-FAB</t>
        </is>
      </c>
      <c r="B48" t="inlineStr">
        <is>
          <t>2026-09-23</t>
        </is>
      </c>
      <c r="C48" t="n">
        <v>2</v>
      </c>
      <c r="D48" t="n">
        <v>22</v>
      </c>
      <c r="E48" t="n">
        <v>3</v>
      </c>
      <c r="F48" t="n">
        <v>12960</v>
      </c>
      <c r="G48" t="n">
        <v>0</v>
      </c>
      <c r="H48" t="n">
        <v>10012</v>
      </c>
      <c r="I48" t="n">
        <v>0</v>
      </c>
      <c r="J48" t="n">
        <v>10012</v>
      </c>
      <c r="K48" t="n">
        <v>0</v>
      </c>
      <c r="L48">
        <f>MIN(F48,J48)</f>
        <v/>
      </c>
      <c r="M48">
        <f>MIN(K48,MAX(0,F48-(J48-K48)))</f>
        <v/>
      </c>
    </row>
    <row r="49">
      <c r="A49" t="inlineStr">
        <is>
          <t>NORTHBAY-FAB</t>
        </is>
      </c>
      <c r="B49" t="inlineStr">
        <is>
          <t>2026-09-23</t>
        </is>
      </c>
      <c r="C49" t="n">
        <v>2</v>
      </c>
      <c r="D49" t="n">
        <v>23</v>
      </c>
      <c r="E49" t="n">
        <v>3</v>
      </c>
      <c r="F49" t="n">
        <v>12960</v>
      </c>
      <c r="G49" t="n">
        <v>0</v>
      </c>
      <c r="H49" t="n">
        <v>7757</v>
      </c>
      <c r="I49" t="n">
        <v>0</v>
      </c>
      <c r="J49" t="n">
        <v>7757</v>
      </c>
      <c r="K49" t="n">
        <v>0</v>
      </c>
      <c r="L49">
        <f>MIN(F49,J49)</f>
        <v/>
      </c>
      <c r="M49">
        <f>MIN(K49,MAX(0,F49-(J49-K49)))</f>
        <v/>
      </c>
    </row>
    <row r="50">
      <c r="A50" t="inlineStr">
        <is>
          <t>NORTHBAY-FAB</t>
        </is>
      </c>
      <c r="B50" t="inlineStr">
        <is>
          <t>2026-09-24</t>
        </is>
      </c>
      <c r="C50" t="n">
        <v>3</v>
      </c>
      <c r="D50" t="n">
        <v>0</v>
      </c>
      <c r="E50" t="n">
        <v>4</v>
      </c>
      <c r="F50" t="n">
        <v>12960</v>
      </c>
      <c r="G50" t="n">
        <v>0</v>
      </c>
      <c r="H50" t="n">
        <v>7424</v>
      </c>
      <c r="I50" t="n">
        <v>0</v>
      </c>
      <c r="J50" t="n">
        <v>7424</v>
      </c>
      <c r="K50" t="n">
        <v>0</v>
      </c>
      <c r="L50">
        <f>MIN(F50,J50)</f>
        <v/>
      </c>
      <c r="M50">
        <f>MIN(K50,MAX(0,F50-(J50-K50)))</f>
        <v/>
      </c>
    </row>
    <row r="51">
      <c r="A51" t="inlineStr">
        <is>
          <t>NORTHBAY-FAB</t>
        </is>
      </c>
      <c r="B51" t="inlineStr">
        <is>
          <t>2026-09-24</t>
        </is>
      </c>
      <c r="C51" t="n">
        <v>3</v>
      </c>
      <c r="D51" t="n">
        <v>1</v>
      </c>
      <c r="E51" t="n">
        <v>4</v>
      </c>
      <c r="F51" t="n">
        <v>12960</v>
      </c>
      <c r="G51" t="n">
        <v>0</v>
      </c>
      <c r="H51" t="n">
        <v>8235</v>
      </c>
      <c r="I51" t="n">
        <v>0</v>
      </c>
      <c r="J51" t="n">
        <v>8235</v>
      </c>
      <c r="K51" t="n">
        <v>0</v>
      </c>
      <c r="L51">
        <f>MIN(F51,J51)</f>
        <v/>
      </c>
      <c r="M51">
        <f>MIN(K51,MAX(0,F51-(J51-K51)))</f>
        <v/>
      </c>
    </row>
    <row r="52">
      <c r="A52" t="inlineStr">
        <is>
          <t>NORTHBAY-FAB</t>
        </is>
      </c>
      <c r="B52" t="inlineStr">
        <is>
          <t>2026-09-24</t>
        </is>
      </c>
      <c r="C52" t="n">
        <v>3</v>
      </c>
      <c r="D52" t="n">
        <v>2</v>
      </c>
      <c r="E52" t="n">
        <v>4</v>
      </c>
      <c r="F52" t="n">
        <v>12960</v>
      </c>
      <c r="G52" t="n">
        <v>0</v>
      </c>
      <c r="H52" t="n">
        <v>9522</v>
      </c>
      <c r="I52" t="n">
        <v>0</v>
      </c>
      <c r="J52" t="n">
        <v>9522</v>
      </c>
      <c r="K52" t="n">
        <v>0</v>
      </c>
      <c r="L52">
        <f>MIN(F52,J52)</f>
        <v/>
      </c>
      <c r="M52">
        <f>MIN(K52,MAX(0,F52-(J52-K52)))</f>
        <v/>
      </c>
    </row>
    <row r="53">
      <c r="A53" t="inlineStr">
        <is>
          <t>NORTHBAY-FAB</t>
        </is>
      </c>
      <c r="B53" t="inlineStr">
        <is>
          <t>2026-09-24</t>
        </is>
      </c>
      <c r="C53" t="n">
        <v>3</v>
      </c>
      <c r="D53" t="n">
        <v>3</v>
      </c>
      <c r="E53" t="n">
        <v>4</v>
      </c>
      <c r="F53" t="n">
        <v>12960</v>
      </c>
      <c r="G53" t="n">
        <v>0</v>
      </c>
      <c r="H53" t="n">
        <v>8333</v>
      </c>
      <c r="I53" t="n">
        <v>0</v>
      </c>
      <c r="J53" t="n">
        <v>8333</v>
      </c>
      <c r="K53" t="n">
        <v>0</v>
      </c>
      <c r="L53">
        <f>MIN(F53,J53)</f>
        <v/>
      </c>
      <c r="M53">
        <f>MIN(K53,MAX(0,F53-(J53-K53)))</f>
        <v/>
      </c>
    </row>
    <row r="54">
      <c r="A54" t="inlineStr">
        <is>
          <t>NORTHBAY-FAB</t>
        </is>
      </c>
      <c r="B54" t="inlineStr">
        <is>
          <t>2026-09-24</t>
        </is>
      </c>
      <c r="C54" t="n">
        <v>3</v>
      </c>
      <c r="D54" t="n">
        <v>4</v>
      </c>
      <c r="E54" t="n">
        <v>4</v>
      </c>
      <c r="F54" t="n">
        <v>12960</v>
      </c>
      <c r="G54" t="n">
        <v>0</v>
      </c>
      <c r="H54" t="n">
        <v>6672</v>
      </c>
      <c r="I54" t="n">
        <v>0</v>
      </c>
      <c r="J54" t="n">
        <v>6672</v>
      </c>
      <c r="K54" t="n">
        <v>0</v>
      </c>
      <c r="L54">
        <f>MIN(F54,J54)</f>
        <v/>
      </c>
      <c r="M54">
        <f>MIN(K54,MAX(0,F54-(J54-K54)))</f>
        <v/>
      </c>
    </row>
    <row r="55">
      <c r="A55" t="inlineStr">
        <is>
          <t>NORTHBAY-FAB</t>
        </is>
      </c>
      <c r="B55" t="inlineStr">
        <is>
          <t>2026-09-24</t>
        </is>
      </c>
      <c r="C55" t="n">
        <v>3</v>
      </c>
      <c r="D55" t="n">
        <v>5</v>
      </c>
      <c r="E55" t="n">
        <v>4</v>
      </c>
      <c r="F55" t="n">
        <v>12960</v>
      </c>
      <c r="G55" t="n">
        <v>19</v>
      </c>
      <c r="H55" t="n">
        <v>5355</v>
      </c>
      <c r="I55" t="n">
        <v>0</v>
      </c>
      <c r="J55" t="n">
        <v>5374</v>
      </c>
      <c r="K55" t="n">
        <v>0</v>
      </c>
      <c r="L55">
        <f>MIN(F55,J55)</f>
        <v/>
      </c>
      <c r="M55">
        <f>MIN(K55,MAX(0,F55-(J55-K55)))</f>
        <v/>
      </c>
    </row>
    <row r="56">
      <c r="A56" t="inlineStr">
        <is>
          <t>NORTHBAY-FAB</t>
        </is>
      </c>
      <c r="B56" t="inlineStr">
        <is>
          <t>2026-09-24</t>
        </is>
      </c>
      <c r="C56" t="n">
        <v>3</v>
      </c>
      <c r="D56" t="n">
        <v>6</v>
      </c>
      <c r="E56" t="n">
        <v>4</v>
      </c>
      <c r="F56" t="n">
        <v>12960</v>
      </c>
      <c r="G56" t="n">
        <v>841</v>
      </c>
      <c r="H56" t="n">
        <v>4157</v>
      </c>
      <c r="I56" t="n">
        <v>0</v>
      </c>
      <c r="J56" t="n">
        <v>4998</v>
      </c>
      <c r="K56" t="n">
        <v>0</v>
      </c>
      <c r="L56">
        <f>MIN(F56,J56)</f>
        <v/>
      </c>
      <c r="M56">
        <f>MIN(K56,MAX(0,F56-(J56-K56)))</f>
        <v/>
      </c>
    </row>
    <row r="57">
      <c r="A57" t="inlineStr">
        <is>
          <t>NORTHBAY-FAB</t>
        </is>
      </c>
      <c r="B57" t="inlineStr">
        <is>
          <t>2026-09-24</t>
        </is>
      </c>
      <c r="C57" t="n">
        <v>3</v>
      </c>
      <c r="D57" t="n">
        <v>7</v>
      </c>
      <c r="E57" t="n">
        <v>4</v>
      </c>
      <c r="F57" t="n">
        <v>12960</v>
      </c>
      <c r="G57" t="n">
        <v>6142</v>
      </c>
      <c r="H57" t="n">
        <v>4578</v>
      </c>
      <c r="I57" t="n">
        <v>0</v>
      </c>
      <c r="J57" t="n">
        <v>10720</v>
      </c>
      <c r="K57" t="n">
        <v>0</v>
      </c>
      <c r="L57">
        <f>MIN(F57,J57)</f>
        <v/>
      </c>
      <c r="M57">
        <f>MIN(K57,MAX(0,F57-(J57-K57)))</f>
        <v/>
      </c>
    </row>
    <row r="58">
      <c r="A58" t="inlineStr">
        <is>
          <t>NORTHBAY-FAB</t>
        </is>
      </c>
      <c r="B58" t="inlineStr">
        <is>
          <t>2026-09-24</t>
        </is>
      </c>
      <c r="C58" t="n">
        <v>3</v>
      </c>
      <c r="D58" t="n">
        <v>8</v>
      </c>
      <c r="E58" t="n">
        <v>4</v>
      </c>
      <c r="F58" t="n">
        <v>12960</v>
      </c>
      <c r="G58" t="n">
        <v>13116</v>
      </c>
      <c r="H58" t="n">
        <v>5508</v>
      </c>
      <c r="I58" t="n">
        <v>0</v>
      </c>
      <c r="J58" t="n">
        <v>18624</v>
      </c>
      <c r="K58" t="n">
        <v>0</v>
      </c>
      <c r="L58">
        <f>MIN(F58,J58)</f>
        <v/>
      </c>
      <c r="M58">
        <f>MIN(K58,MAX(0,F58-(J58-K58)))</f>
        <v/>
      </c>
    </row>
    <row r="59">
      <c r="A59" t="inlineStr">
        <is>
          <t>NORTHBAY-FAB</t>
        </is>
      </c>
      <c r="B59" t="inlineStr">
        <is>
          <t>2026-09-24</t>
        </is>
      </c>
      <c r="C59" t="n">
        <v>3</v>
      </c>
      <c r="D59" t="n">
        <v>9</v>
      </c>
      <c r="E59" t="n">
        <v>4</v>
      </c>
      <c r="F59" t="n">
        <v>12960</v>
      </c>
      <c r="G59" t="n">
        <v>17689</v>
      </c>
      <c r="H59" t="n">
        <v>6441</v>
      </c>
      <c r="I59" t="n">
        <v>0</v>
      </c>
      <c r="J59" t="n">
        <v>24130</v>
      </c>
      <c r="K59" t="n">
        <v>0</v>
      </c>
      <c r="L59">
        <f>MIN(F59,J59)</f>
        <v/>
      </c>
      <c r="M59">
        <f>MIN(K59,MAX(0,F59-(J59-K59)))</f>
        <v/>
      </c>
    </row>
    <row r="60">
      <c r="A60" t="inlineStr">
        <is>
          <t>NORTHBAY-FAB</t>
        </is>
      </c>
      <c r="B60" t="inlineStr">
        <is>
          <t>2026-09-24</t>
        </is>
      </c>
      <c r="C60" t="n">
        <v>3</v>
      </c>
      <c r="D60" t="n">
        <v>10</v>
      </c>
      <c r="E60" t="n">
        <v>4</v>
      </c>
      <c r="F60" t="n">
        <v>12960</v>
      </c>
      <c r="G60" t="n">
        <v>20694</v>
      </c>
      <c r="H60" t="n">
        <v>7521</v>
      </c>
      <c r="I60" t="n">
        <v>0</v>
      </c>
      <c r="J60" t="n">
        <v>28215</v>
      </c>
      <c r="K60" t="n">
        <v>0</v>
      </c>
      <c r="L60">
        <f>MIN(F60,J60)</f>
        <v/>
      </c>
      <c r="M60">
        <f>MIN(K60,MAX(0,F60-(J60-K60)))</f>
        <v/>
      </c>
    </row>
    <row r="61">
      <c r="A61" t="inlineStr">
        <is>
          <t>NORTHBAY-FAB</t>
        </is>
      </c>
      <c r="B61" t="inlineStr">
        <is>
          <t>2026-09-24</t>
        </is>
      </c>
      <c r="C61" t="n">
        <v>3</v>
      </c>
      <c r="D61" t="n">
        <v>11</v>
      </c>
      <c r="E61" t="n">
        <v>4</v>
      </c>
      <c r="F61" t="n">
        <v>12960</v>
      </c>
      <c r="G61" t="n">
        <v>22128</v>
      </c>
      <c r="H61" t="n">
        <v>8686</v>
      </c>
      <c r="I61" t="n">
        <v>0</v>
      </c>
      <c r="J61" t="n">
        <v>30814</v>
      </c>
      <c r="K61" t="n">
        <v>0</v>
      </c>
      <c r="L61">
        <f>MIN(F61,J61)</f>
        <v/>
      </c>
      <c r="M61">
        <f>MIN(K61,MAX(0,F61-(J61-K61)))</f>
        <v/>
      </c>
    </row>
    <row r="62">
      <c r="A62" t="inlineStr">
        <is>
          <t>NORTHBAY-FAB</t>
        </is>
      </c>
      <c r="B62" t="inlineStr">
        <is>
          <t>2026-09-24</t>
        </is>
      </c>
      <c r="C62" t="n">
        <v>3</v>
      </c>
      <c r="D62" t="n">
        <v>12</v>
      </c>
      <c r="E62" t="n">
        <v>4</v>
      </c>
      <c r="F62" t="n">
        <v>12960</v>
      </c>
      <c r="G62" t="n">
        <v>23500</v>
      </c>
      <c r="H62" t="n">
        <v>9919</v>
      </c>
      <c r="I62" t="n">
        <v>0</v>
      </c>
      <c r="J62" t="n">
        <v>33419</v>
      </c>
      <c r="K62" t="n">
        <v>0</v>
      </c>
      <c r="L62">
        <f>MIN(F62,J62)</f>
        <v/>
      </c>
      <c r="M62">
        <f>MIN(K62,MAX(0,F62-(J62-K62)))</f>
        <v/>
      </c>
    </row>
    <row r="63">
      <c r="A63" t="inlineStr">
        <is>
          <t>NORTHBAY-FAB</t>
        </is>
      </c>
      <c r="B63" t="inlineStr">
        <is>
          <t>2026-09-24</t>
        </is>
      </c>
      <c r="C63" t="n">
        <v>3</v>
      </c>
      <c r="D63" t="n">
        <v>13</v>
      </c>
      <c r="E63" t="n">
        <v>4</v>
      </c>
      <c r="F63" t="n">
        <v>12960</v>
      </c>
      <c r="G63" t="n">
        <v>22129</v>
      </c>
      <c r="H63" t="n">
        <v>9669</v>
      </c>
      <c r="I63" t="n">
        <v>0</v>
      </c>
      <c r="J63" t="n">
        <v>31798</v>
      </c>
      <c r="K63" t="n">
        <v>0</v>
      </c>
      <c r="L63">
        <f>MIN(F63,J63)</f>
        <v/>
      </c>
      <c r="M63">
        <f>MIN(K63,MAX(0,F63-(J63-K63)))</f>
        <v/>
      </c>
    </row>
    <row r="64">
      <c r="A64" t="inlineStr">
        <is>
          <t>NORTHBAY-FAB</t>
        </is>
      </c>
      <c r="B64" t="inlineStr">
        <is>
          <t>2026-09-24</t>
        </is>
      </c>
      <c r="C64" t="n">
        <v>3</v>
      </c>
      <c r="D64" t="n">
        <v>14</v>
      </c>
      <c r="E64" t="n">
        <v>4</v>
      </c>
      <c r="F64" t="n">
        <v>12960</v>
      </c>
      <c r="G64" t="n">
        <v>19295</v>
      </c>
      <c r="H64" t="n">
        <v>10481</v>
      </c>
      <c r="I64" t="n">
        <v>0</v>
      </c>
      <c r="J64" t="n">
        <v>29776</v>
      </c>
      <c r="K64" t="n">
        <v>0</v>
      </c>
      <c r="L64">
        <f>MIN(F64,J64)</f>
        <v/>
      </c>
      <c r="M64">
        <f>MIN(K64,MAX(0,F64-(J64-K64)))</f>
        <v/>
      </c>
    </row>
    <row r="65">
      <c r="A65" t="inlineStr">
        <is>
          <t>NORTHBAY-FAB</t>
        </is>
      </c>
      <c r="B65" t="inlineStr">
        <is>
          <t>2026-09-24</t>
        </is>
      </c>
      <c r="C65" t="n">
        <v>3</v>
      </c>
      <c r="D65" t="n">
        <v>15</v>
      </c>
      <c r="E65" t="n">
        <v>4</v>
      </c>
      <c r="F65" t="n">
        <v>12960</v>
      </c>
      <c r="G65" t="n">
        <v>14293</v>
      </c>
      <c r="H65" t="n">
        <v>12416</v>
      </c>
      <c r="I65" t="n">
        <v>0</v>
      </c>
      <c r="J65" t="n">
        <v>26709</v>
      </c>
      <c r="K65" t="n">
        <v>0</v>
      </c>
      <c r="L65">
        <f>MIN(F65,J65)</f>
        <v/>
      </c>
      <c r="M65">
        <f>MIN(K65,MAX(0,F65-(J65-K65)))</f>
        <v/>
      </c>
    </row>
    <row r="66">
      <c r="A66" t="inlineStr">
        <is>
          <t>NORTHBAY-FAB</t>
        </is>
      </c>
      <c r="B66" t="inlineStr">
        <is>
          <t>2026-09-24</t>
        </is>
      </c>
      <c r="C66" t="n">
        <v>3</v>
      </c>
      <c r="D66" t="n">
        <v>16</v>
      </c>
      <c r="E66" t="n">
        <v>4</v>
      </c>
      <c r="F66" t="n">
        <v>12960</v>
      </c>
      <c r="G66" t="n">
        <v>7842</v>
      </c>
      <c r="H66" t="n">
        <v>13193</v>
      </c>
      <c r="I66" t="n">
        <v>0</v>
      </c>
      <c r="J66" t="n">
        <v>21035</v>
      </c>
      <c r="K66" t="n">
        <v>0</v>
      </c>
      <c r="L66">
        <f>MIN(F66,J66)</f>
        <v/>
      </c>
      <c r="M66">
        <f>MIN(K66,MAX(0,F66-(J66-K66)))</f>
        <v/>
      </c>
    </row>
    <row r="67">
      <c r="A67" t="inlineStr">
        <is>
          <t>NORTHBAY-FAB</t>
        </is>
      </c>
      <c r="B67" t="inlineStr">
        <is>
          <t>2026-09-24</t>
        </is>
      </c>
      <c r="C67" t="n">
        <v>3</v>
      </c>
      <c r="D67" t="n">
        <v>17</v>
      </c>
      <c r="E67" t="n">
        <v>4</v>
      </c>
      <c r="F67" t="n">
        <v>12960</v>
      </c>
      <c r="G67" t="n">
        <v>2506</v>
      </c>
      <c r="H67" t="n">
        <v>12785</v>
      </c>
      <c r="I67" t="n">
        <v>0</v>
      </c>
      <c r="J67" t="n">
        <v>15291</v>
      </c>
      <c r="K67" t="n">
        <v>0</v>
      </c>
      <c r="L67">
        <f>MIN(F67,J67)</f>
        <v/>
      </c>
      <c r="M67">
        <f>MIN(K67,MAX(0,F67-(J67-K67)))</f>
        <v/>
      </c>
    </row>
    <row r="68">
      <c r="A68" t="inlineStr">
        <is>
          <t>NORTHBAY-FAB</t>
        </is>
      </c>
      <c r="B68" t="inlineStr">
        <is>
          <t>2026-09-24</t>
        </is>
      </c>
      <c r="C68" t="n">
        <v>3</v>
      </c>
      <c r="D68" t="n">
        <v>18</v>
      </c>
      <c r="E68" t="n">
        <v>4</v>
      </c>
      <c r="F68" t="n">
        <v>12960</v>
      </c>
      <c r="G68" t="n">
        <v>0</v>
      </c>
      <c r="H68" t="n">
        <v>12272</v>
      </c>
      <c r="I68" t="n">
        <v>0</v>
      </c>
      <c r="J68" t="n">
        <v>12272</v>
      </c>
      <c r="K68" t="n">
        <v>0</v>
      </c>
      <c r="L68">
        <f>MIN(F68,J68)</f>
        <v/>
      </c>
      <c r="M68">
        <f>MIN(K68,MAX(0,F68-(J68-K68)))</f>
        <v/>
      </c>
    </row>
    <row r="69">
      <c r="A69" t="inlineStr">
        <is>
          <t>NORTHBAY-FAB</t>
        </is>
      </c>
      <c r="B69" t="inlineStr">
        <is>
          <t>2026-09-24</t>
        </is>
      </c>
      <c r="C69" t="n">
        <v>3</v>
      </c>
      <c r="D69" t="n">
        <v>19</v>
      </c>
      <c r="E69" t="n">
        <v>4</v>
      </c>
      <c r="F69" t="n">
        <v>12960</v>
      </c>
      <c r="G69" t="n">
        <v>0</v>
      </c>
      <c r="H69" t="n">
        <v>10465</v>
      </c>
      <c r="I69" t="n">
        <v>0</v>
      </c>
      <c r="J69" t="n">
        <v>10465</v>
      </c>
      <c r="K69" t="n">
        <v>0</v>
      </c>
      <c r="L69">
        <f>MIN(F69,J69)</f>
        <v/>
      </c>
      <c r="M69">
        <f>MIN(K69,MAX(0,F69-(J69-K69)))</f>
        <v/>
      </c>
    </row>
    <row r="70">
      <c r="A70" t="inlineStr">
        <is>
          <t>NORTHBAY-FAB</t>
        </is>
      </c>
      <c r="B70" t="inlineStr">
        <is>
          <t>2026-09-24</t>
        </is>
      </c>
      <c r="C70" t="n">
        <v>3</v>
      </c>
      <c r="D70" t="n">
        <v>20</v>
      </c>
      <c r="E70" t="n">
        <v>4</v>
      </c>
      <c r="F70" t="n">
        <v>12960</v>
      </c>
      <c r="G70" t="n">
        <v>0</v>
      </c>
      <c r="H70" t="n">
        <v>7726</v>
      </c>
      <c r="I70" t="n">
        <v>0</v>
      </c>
      <c r="J70" t="n">
        <v>7726</v>
      </c>
      <c r="K70" t="n">
        <v>0</v>
      </c>
      <c r="L70">
        <f>MIN(F70,J70)</f>
        <v/>
      </c>
      <c r="M70">
        <f>MIN(K70,MAX(0,F70-(J70-K70)))</f>
        <v/>
      </c>
    </row>
    <row r="71">
      <c r="A71" t="inlineStr">
        <is>
          <t>NORTHBAY-FAB</t>
        </is>
      </c>
      <c r="B71" t="inlineStr">
        <is>
          <t>2026-09-24</t>
        </is>
      </c>
      <c r="C71" t="n">
        <v>3</v>
      </c>
      <c r="D71" t="n">
        <v>21</v>
      </c>
      <c r="E71" t="n">
        <v>4</v>
      </c>
      <c r="F71" t="n">
        <v>12960</v>
      </c>
      <c r="G71" t="n">
        <v>0</v>
      </c>
      <c r="H71" t="n">
        <v>5932</v>
      </c>
      <c r="I71" t="n">
        <v>0</v>
      </c>
      <c r="J71" t="n">
        <v>5932</v>
      </c>
      <c r="K71" t="n">
        <v>0</v>
      </c>
      <c r="L71">
        <f>MIN(F71,J71)</f>
        <v/>
      </c>
      <c r="M71">
        <f>MIN(K71,MAX(0,F71-(J71-K71)))</f>
        <v/>
      </c>
    </row>
    <row r="72">
      <c r="A72" t="inlineStr">
        <is>
          <t>NORTHBAY-FAB</t>
        </is>
      </c>
      <c r="B72" t="inlineStr">
        <is>
          <t>2026-09-24</t>
        </is>
      </c>
      <c r="C72" t="n">
        <v>3</v>
      </c>
      <c r="D72" t="n">
        <v>22</v>
      </c>
      <c r="E72" t="n">
        <v>4</v>
      </c>
      <c r="F72" t="n">
        <v>12960</v>
      </c>
      <c r="G72" t="n">
        <v>0</v>
      </c>
      <c r="H72" t="n">
        <v>4335</v>
      </c>
      <c r="I72" t="n">
        <v>0</v>
      </c>
      <c r="J72" t="n">
        <v>4335</v>
      </c>
      <c r="K72" t="n">
        <v>0</v>
      </c>
      <c r="L72">
        <f>MIN(F72,J72)</f>
        <v/>
      </c>
      <c r="M72">
        <f>MIN(K72,MAX(0,F72-(J72-K72)))</f>
        <v/>
      </c>
    </row>
    <row r="73">
      <c r="A73" t="inlineStr">
        <is>
          <t>NORTHBAY-FAB</t>
        </is>
      </c>
      <c r="B73" t="inlineStr">
        <is>
          <t>2026-09-24</t>
        </is>
      </c>
      <c r="C73" t="n">
        <v>3</v>
      </c>
      <c r="D73" t="n">
        <v>23</v>
      </c>
      <c r="E73" t="n">
        <v>4</v>
      </c>
      <c r="F73" t="n">
        <v>12960</v>
      </c>
      <c r="G73" t="n">
        <v>0</v>
      </c>
      <c r="H73" t="n">
        <v>2669</v>
      </c>
      <c r="I73" t="n">
        <v>0</v>
      </c>
      <c r="J73" t="n">
        <v>2669</v>
      </c>
      <c r="K73" t="n">
        <v>0</v>
      </c>
      <c r="L73">
        <f>MIN(F73,J73)</f>
        <v/>
      </c>
      <c r="M73">
        <f>MIN(K73,MAX(0,F73-(J73-K73)))</f>
        <v/>
      </c>
    </row>
    <row r="74">
      <c r="A74" t="inlineStr">
        <is>
          <t>NORTHBAY-FAB</t>
        </is>
      </c>
      <c r="B74" t="inlineStr">
        <is>
          <t>2026-09-25</t>
        </is>
      </c>
      <c r="C74" t="n">
        <v>4</v>
      </c>
      <c r="D74" t="n">
        <v>0</v>
      </c>
      <c r="E74" t="n">
        <v>5</v>
      </c>
      <c r="F74" t="n">
        <v>12960</v>
      </c>
      <c r="G74" t="n">
        <v>0</v>
      </c>
      <c r="H74" t="n">
        <v>1670</v>
      </c>
      <c r="I74" t="n">
        <v>0</v>
      </c>
      <c r="J74" t="n">
        <v>1670</v>
      </c>
      <c r="K74" t="n">
        <v>0</v>
      </c>
      <c r="L74">
        <f>MIN(F74,J74)</f>
        <v/>
      </c>
      <c r="M74">
        <f>MIN(K74,MAX(0,F74-(J74-K74)))</f>
        <v/>
      </c>
    </row>
    <row r="75">
      <c r="A75" t="inlineStr">
        <is>
          <t>NORTHBAY-FAB</t>
        </is>
      </c>
      <c r="B75" t="inlineStr">
        <is>
          <t>2026-09-25</t>
        </is>
      </c>
      <c r="C75" t="n">
        <v>4</v>
      </c>
      <c r="D75" t="n">
        <v>1</v>
      </c>
      <c r="E75" t="n">
        <v>5</v>
      </c>
      <c r="F75" t="n">
        <v>12960</v>
      </c>
      <c r="G75" t="n">
        <v>0</v>
      </c>
      <c r="H75" t="n">
        <v>2149</v>
      </c>
      <c r="I75" t="n">
        <v>0</v>
      </c>
      <c r="J75" t="n">
        <v>2149</v>
      </c>
      <c r="K75" t="n">
        <v>0</v>
      </c>
      <c r="L75">
        <f>MIN(F75,J75)</f>
        <v/>
      </c>
      <c r="M75">
        <f>MIN(K75,MAX(0,F75-(J75-K75)))</f>
        <v/>
      </c>
    </row>
    <row r="76">
      <c r="A76" t="inlineStr">
        <is>
          <t>NORTHBAY-FAB</t>
        </is>
      </c>
      <c r="B76" t="inlineStr">
        <is>
          <t>2026-09-25</t>
        </is>
      </c>
      <c r="C76" t="n">
        <v>4</v>
      </c>
      <c r="D76" t="n">
        <v>2</v>
      </c>
      <c r="E76" t="n">
        <v>5</v>
      </c>
      <c r="F76" t="n">
        <v>12960</v>
      </c>
      <c r="G76" t="n">
        <v>0</v>
      </c>
      <c r="H76" t="n">
        <v>3195</v>
      </c>
      <c r="I76" t="n">
        <v>0</v>
      </c>
      <c r="J76" t="n">
        <v>3195</v>
      </c>
      <c r="K76" t="n">
        <v>0</v>
      </c>
      <c r="L76">
        <f>MIN(F76,J76)</f>
        <v/>
      </c>
      <c r="M76">
        <f>MIN(K76,MAX(0,F76-(J76-K76)))</f>
        <v/>
      </c>
    </row>
    <row r="77">
      <c r="A77" t="inlineStr">
        <is>
          <t>NORTHBAY-FAB</t>
        </is>
      </c>
      <c r="B77" t="inlineStr">
        <is>
          <t>2026-09-25</t>
        </is>
      </c>
      <c r="C77" t="n">
        <v>4</v>
      </c>
      <c r="D77" t="n">
        <v>3</v>
      </c>
      <c r="E77" t="n">
        <v>5</v>
      </c>
      <c r="F77" t="n">
        <v>12960</v>
      </c>
      <c r="G77" t="n">
        <v>0</v>
      </c>
      <c r="H77" t="n">
        <v>3344</v>
      </c>
      <c r="I77" t="n">
        <v>0</v>
      </c>
      <c r="J77" t="n">
        <v>3344</v>
      </c>
      <c r="K77" t="n">
        <v>0</v>
      </c>
      <c r="L77">
        <f>MIN(F77,J77)</f>
        <v/>
      </c>
      <c r="M77">
        <f>MIN(K77,MAX(0,F77-(J77-K77)))</f>
        <v/>
      </c>
    </row>
    <row r="78">
      <c r="A78" t="inlineStr">
        <is>
          <t>NORTHBAY-FAB</t>
        </is>
      </c>
      <c r="B78" t="inlineStr">
        <is>
          <t>2026-09-25</t>
        </is>
      </c>
      <c r="C78" t="n">
        <v>4</v>
      </c>
      <c r="D78" t="n">
        <v>4</v>
      </c>
      <c r="E78" t="n">
        <v>5</v>
      </c>
      <c r="F78" t="n">
        <v>12960</v>
      </c>
      <c r="G78" t="n">
        <v>0</v>
      </c>
      <c r="H78" t="n">
        <v>3000</v>
      </c>
      <c r="I78" t="n">
        <v>0</v>
      </c>
      <c r="J78" t="n">
        <v>3000</v>
      </c>
      <c r="K78" t="n">
        <v>0</v>
      </c>
      <c r="L78">
        <f>MIN(F78,J78)</f>
        <v/>
      </c>
      <c r="M78">
        <f>MIN(K78,MAX(0,F78-(J78-K78)))</f>
        <v/>
      </c>
    </row>
    <row r="79">
      <c r="A79" t="inlineStr">
        <is>
          <t>NORTHBAY-FAB</t>
        </is>
      </c>
      <c r="B79" t="inlineStr">
        <is>
          <t>2026-09-25</t>
        </is>
      </c>
      <c r="C79" t="n">
        <v>4</v>
      </c>
      <c r="D79" t="n">
        <v>5</v>
      </c>
      <c r="E79" t="n">
        <v>5</v>
      </c>
      <c r="F79" t="n">
        <v>12960</v>
      </c>
      <c r="G79" t="n">
        <v>22</v>
      </c>
      <c r="H79" t="n">
        <v>3029</v>
      </c>
      <c r="I79" t="n">
        <v>0</v>
      </c>
      <c r="J79" t="n">
        <v>3051</v>
      </c>
      <c r="K79" t="n">
        <v>0</v>
      </c>
      <c r="L79">
        <f>MIN(F79,J79)</f>
        <v/>
      </c>
      <c r="M79">
        <f>MIN(K79,MAX(0,F79-(J79-K79)))</f>
        <v/>
      </c>
    </row>
    <row r="80">
      <c r="A80" t="inlineStr">
        <is>
          <t>NORTHBAY-FAB</t>
        </is>
      </c>
      <c r="B80" t="inlineStr">
        <is>
          <t>2026-09-25</t>
        </is>
      </c>
      <c r="C80" t="n">
        <v>4</v>
      </c>
      <c r="D80" t="n">
        <v>6</v>
      </c>
      <c r="E80" t="n">
        <v>5</v>
      </c>
      <c r="F80" t="n">
        <v>12960</v>
      </c>
      <c r="G80" t="n">
        <v>1005</v>
      </c>
      <c r="H80" t="n">
        <v>2613</v>
      </c>
      <c r="I80" t="n">
        <v>0</v>
      </c>
      <c r="J80" t="n">
        <v>3618</v>
      </c>
      <c r="K80" t="n">
        <v>0</v>
      </c>
      <c r="L80">
        <f>MIN(F80,J80)</f>
        <v/>
      </c>
      <c r="M80">
        <f>MIN(K80,MAX(0,F80-(J80-K80)))</f>
        <v/>
      </c>
    </row>
    <row r="81">
      <c r="A81" t="inlineStr">
        <is>
          <t>NORTHBAY-FAB</t>
        </is>
      </c>
      <c r="B81" t="inlineStr">
        <is>
          <t>2026-09-25</t>
        </is>
      </c>
      <c r="C81" t="n">
        <v>4</v>
      </c>
      <c r="D81" t="n">
        <v>7</v>
      </c>
      <c r="E81" t="n">
        <v>5</v>
      </c>
      <c r="F81" t="n">
        <v>12960</v>
      </c>
      <c r="G81" t="n">
        <v>5910</v>
      </c>
      <c r="H81" t="n">
        <v>2464</v>
      </c>
      <c r="I81" t="n">
        <v>0</v>
      </c>
      <c r="J81" t="n">
        <v>8374</v>
      </c>
      <c r="K81" t="n">
        <v>0</v>
      </c>
      <c r="L81">
        <f>MIN(F81,J81)</f>
        <v/>
      </c>
      <c r="M81">
        <f>MIN(K81,MAX(0,F81-(J81-K81)))</f>
        <v/>
      </c>
    </row>
    <row r="82">
      <c r="A82" t="inlineStr">
        <is>
          <t>NORTHBAY-FAB</t>
        </is>
      </c>
      <c r="B82" t="inlineStr">
        <is>
          <t>2026-09-25</t>
        </is>
      </c>
      <c r="C82" t="n">
        <v>4</v>
      </c>
      <c r="D82" t="n">
        <v>8</v>
      </c>
      <c r="E82" t="n">
        <v>5</v>
      </c>
      <c r="F82" t="n">
        <v>12960</v>
      </c>
      <c r="G82" t="n">
        <v>13254</v>
      </c>
      <c r="H82" t="n">
        <v>2397</v>
      </c>
      <c r="I82" t="n">
        <v>0</v>
      </c>
      <c r="J82" t="n">
        <v>15651</v>
      </c>
      <c r="K82" t="n">
        <v>0</v>
      </c>
      <c r="L82">
        <f>MIN(F82,J82)</f>
        <v/>
      </c>
      <c r="M82">
        <f>MIN(K82,MAX(0,F82-(J82-K82)))</f>
        <v/>
      </c>
    </row>
    <row r="83">
      <c r="A83" t="inlineStr">
        <is>
          <t>NORTHBAY-FAB</t>
        </is>
      </c>
      <c r="B83" t="inlineStr">
        <is>
          <t>2026-09-25</t>
        </is>
      </c>
      <c r="C83" t="n">
        <v>4</v>
      </c>
      <c r="D83" t="n">
        <v>9</v>
      </c>
      <c r="E83" t="n">
        <v>5</v>
      </c>
      <c r="F83" t="n">
        <v>12960</v>
      </c>
      <c r="G83" t="n">
        <v>19062</v>
      </c>
      <c r="H83" t="n">
        <v>2054</v>
      </c>
      <c r="I83" t="n">
        <v>0</v>
      </c>
      <c r="J83" t="n">
        <v>21116</v>
      </c>
      <c r="K83" t="n">
        <v>0</v>
      </c>
      <c r="L83">
        <f>MIN(F83,J83)</f>
        <v/>
      </c>
      <c r="M83">
        <f>MIN(K83,MAX(0,F83-(J83-K83)))</f>
        <v/>
      </c>
    </row>
    <row r="84">
      <c r="A84" t="inlineStr">
        <is>
          <t>NORTHBAY-FAB</t>
        </is>
      </c>
      <c r="B84" t="inlineStr">
        <is>
          <t>2026-09-25</t>
        </is>
      </c>
      <c r="C84" t="n">
        <v>4</v>
      </c>
      <c r="D84" t="n">
        <v>10</v>
      </c>
      <c r="E84" t="n">
        <v>5</v>
      </c>
      <c r="F84" t="n">
        <v>12960</v>
      </c>
      <c r="G84" t="n">
        <v>22495</v>
      </c>
      <c r="H84" t="n">
        <v>2535</v>
      </c>
      <c r="I84" t="n">
        <v>0</v>
      </c>
      <c r="J84" t="n">
        <v>25030</v>
      </c>
      <c r="K84" t="n">
        <v>0</v>
      </c>
      <c r="L84">
        <f>MIN(F84,J84)</f>
        <v/>
      </c>
      <c r="M84">
        <f>MIN(K84,MAX(0,F84-(J84-K84)))</f>
        <v/>
      </c>
    </row>
    <row r="85">
      <c r="A85" t="inlineStr">
        <is>
          <t>NORTHBAY-FAB</t>
        </is>
      </c>
      <c r="B85" t="inlineStr">
        <is>
          <t>2026-09-25</t>
        </is>
      </c>
      <c r="C85" t="n">
        <v>4</v>
      </c>
      <c r="D85" t="n">
        <v>11</v>
      </c>
      <c r="E85" t="n">
        <v>5</v>
      </c>
      <c r="F85" t="n">
        <v>12960</v>
      </c>
      <c r="G85" t="n">
        <v>23582</v>
      </c>
      <c r="H85" t="n">
        <v>2963</v>
      </c>
      <c r="I85" t="n">
        <v>0</v>
      </c>
      <c r="J85" t="n">
        <v>26545</v>
      </c>
      <c r="K85" t="n">
        <v>0</v>
      </c>
      <c r="L85">
        <f>MIN(F85,J85)</f>
        <v/>
      </c>
      <c r="M85">
        <f>MIN(K85,MAX(0,F85-(J85-K85)))</f>
        <v/>
      </c>
    </row>
    <row r="86">
      <c r="A86" t="inlineStr">
        <is>
          <t>NORTHBAY-FAB</t>
        </is>
      </c>
      <c r="B86" t="inlineStr">
        <is>
          <t>2026-09-25</t>
        </is>
      </c>
      <c r="C86" t="n">
        <v>4</v>
      </c>
      <c r="D86" t="n">
        <v>12</v>
      </c>
      <c r="E86" t="n">
        <v>5</v>
      </c>
      <c r="F86" t="n">
        <v>12960</v>
      </c>
      <c r="G86" t="n">
        <v>23996</v>
      </c>
      <c r="H86" t="n">
        <v>3201</v>
      </c>
      <c r="I86" t="n">
        <v>0</v>
      </c>
      <c r="J86" t="n">
        <v>27197</v>
      </c>
      <c r="K86" t="n">
        <v>0</v>
      </c>
      <c r="L86">
        <f>MIN(F86,J86)</f>
        <v/>
      </c>
      <c r="M86">
        <f>MIN(K86,MAX(0,F86-(J86-K86)))</f>
        <v/>
      </c>
    </row>
    <row r="87">
      <c r="A87" t="inlineStr">
        <is>
          <t>NORTHBAY-FAB</t>
        </is>
      </c>
      <c r="B87" t="inlineStr">
        <is>
          <t>2026-09-25</t>
        </is>
      </c>
      <c r="C87" t="n">
        <v>4</v>
      </c>
      <c r="D87" t="n">
        <v>13</v>
      </c>
      <c r="E87" t="n">
        <v>5</v>
      </c>
      <c r="F87" t="n">
        <v>12960</v>
      </c>
      <c r="G87" t="n">
        <v>22700</v>
      </c>
      <c r="H87" t="n">
        <v>3305</v>
      </c>
      <c r="I87" t="n">
        <v>0</v>
      </c>
      <c r="J87" t="n">
        <v>26005</v>
      </c>
      <c r="K87" t="n">
        <v>0</v>
      </c>
      <c r="L87">
        <f>MIN(F87,J87)</f>
        <v/>
      </c>
      <c r="M87">
        <f>MIN(K87,MAX(0,F87-(J87-K87)))</f>
        <v/>
      </c>
    </row>
    <row r="88">
      <c r="A88" t="inlineStr">
        <is>
          <t>NORTHBAY-FAB</t>
        </is>
      </c>
      <c r="B88" t="inlineStr">
        <is>
          <t>2026-09-25</t>
        </is>
      </c>
      <c r="C88" t="n">
        <v>4</v>
      </c>
      <c r="D88" t="n">
        <v>14</v>
      </c>
      <c r="E88" t="n">
        <v>5</v>
      </c>
      <c r="F88" t="n">
        <v>12960</v>
      </c>
      <c r="G88" t="n">
        <v>19649</v>
      </c>
      <c r="H88" t="n">
        <v>2936</v>
      </c>
      <c r="I88" t="n">
        <v>0</v>
      </c>
      <c r="J88" t="n">
        <v>22585</v>
      </c>
      <c r="K88" t="n">
        <v>0</v>
      </c>
      <c r="L88">
        <f>MIN(F88,J88)</f>
        <v/>
      </c>
      <c r="M88">
        <f>MIN(K88,MAX(0,F88-(J88-K88)))</f>
        <v/>
      </c>
    </row>
    <row r="89">
      <c r="A89" t="inlineStr">
        <is>
          <t>NORTHBAY-FAB</t>
        </is>
      </c>
      <c r="B89" t="inlineStr">
        <is>
          <t>2026-09-25</t>
        </is>
      </c>
      <c r="C89" t="n">
        <v>4</v>
      </c>
      <c r="D89" t="n">
        <v>15</v>
      </c>
      <c r="E89" t="n">
        <v>5</v>
      </c>
      <c r="F89" t="n">
        <v>12960</v>
      </c>
      <c r="G89" t="n">
        <v>14323</v>
      </c>
      <c r="H89" t="n">
        <v>2475</v>
      </c>
      <c r="I89" t="n">
        <v>0</v>
      </c>
      <c r="J89" t="n">
        <v>16798</v>
      </c>
      <c r="K89" t="n">
        <v>0</v>
      </c>
      <c r="L89">
        <f>MIN(F89,J89)</f>
        <v/>
      </c>
      <c r="M89">
        <f>MIN(K89,MAX(0,F89-(J89-K89)))</f>
        <v/>
      </c>
    </row>
    <row r="90">
      <c r="A90" t="inlineStr">
        <is>
          <t>NORTHBAY-FAB</t>
        </is>
      </c>
      <c r="B90" t="inlineStr">
        <is>
          <t>2026-09-25</t>
        </is>
      </c>
      <c r="C90" t="n">
        <v>4</v>
      </c>
      <c r="D90" t="n">
        <v>16</v>
      </c>
      <c r="E90" t="n">
        <v>5</v>
      </c>
      <c r="F90" t="n">
        <v>12960</v>
      </c>
      <c r="G90" t="n">
        <v>7761</v>
      </c>
      <c r="H90" t="n">
        <v>2020</v>
      </c>
      <c r="I90" t="n">
        <v>0</v>
      </c>
      <c r="J90" t="n">
        <v>9781</v>
      </c>
      <c r="K90" t="n">
        <v>0</v>
      </c>
      <c r="L90">
        <f>MIN(F90,J90)</f>
        <v/>
      </c>
      <c r="M90">
        <f>MIN(K90,MAX(0,F90-(J90-K90)))</f>
        <v/>
      </c>
    </row>
    <row r="91">
      <c r="A91" t="inlineStr">
        <is>
          <t>NORTHBAY-FAB</t>
        </is>
      </c>
      <c r="B91" t="inlineStr">
        <is>
          <t>2026-09-25</t>
        </is>
      </c>
      <c r="C91" t="n">
        <v>4</v>
      </c>
      <c r="D91" t="n">
        <v>17</v>
      </c>
      <c r="E91" t="n">
        <v>5</v>
      </c>
      <c r="F91" t="n">
        <v>12960</v>
      </c>
      <c r="G91" t="n">
        <v>1894</v>
      </c>
      <c r="H91" t="n">
        <v>1971</v>
      </c>
      <c r="I91" t="n">
        <v>0</v>
      </c>
      <c r="J91" t="n">
        <v>3865</v>
      </c>
      <c r="K91" t="n">
        <v>0</v>
      </c>
      <c r="L91">
        <f>MIN(F91,J91)</f>
        <v/>
      </c>
      <c r="M91">
        <f>MIN(K91,MAX(0,F91-(J91-K91)))</f>
        <v/>
      </c>
    </row>
    <row r="92">
      <c r="A92" t="inlineStr">
        <is>
          <t>NORTHBAY-FAB</t>
        </is>
      </c>
      <c r="B92" t="inlineStr">
        <is>
          <t>2026-09-25</t>
        </is>
      </c>
      <c r="C92" t="n">
        <v>4</v>
      </c>
      <c r="D92" t="n">
        <v>18</v>
      </c>
      <c r="E92" t="n">
        <v>5</v>
      </c>
      <c r="F92" t="n">
        <v>12960</v>
      </c>
      <c r="G92" t="n">
        <v>0</v>
      </c>
      <c r="H92" t="n">
        <v>1203</v>
      </c>
      <c r="I92" t="n">
        <v>0</v>
      </c>
      <c r="J92" t="n">
        <v>1203</v>
      </c>
      <c r="K92" t="n">
        <v>0</v>
      </c>
      <c r="L92">
        <f>MIN(F92,J92)</f>
        <v/>
      </c>
      <c r="M92">
        <f>MIN(K92,MAX(0,F92-(J92-K92)))</f>
        <v/>
      </c>
    </row>
    <row r="93">
      <c r="A93" t="inlineStr">
        <is>
          <t>NORTHBAY-FAB</t>
        </is>
      </c>
      <c r="B93" t="inlineStr">
        <is>
          <t>2026-09-25</t>
        </is>
      </c>
      <c r="C93" t="n">
        <v>4</v>
      </c>
      <c r="D93" t="n">
        <v>19</v>
      </c>
      <c r="E93" t="n">
        <v>5</v>
      </c>
      <c r="F93" t="n">
        <v>12960</v>
      </c>
      <c r="G93" t="n">
        <v>0</v>
      </c>
      <c r="H93" t="n">
        <v>642</v>
      </c>
      <c r="I93" t="n">
        <v>0</v>
      </c>
      <c r="J93" t="n">
        <v>642</v>
      </c>
      <c r="K93" t="n">
        <v>0</v>
      </c>
      <c r="L93">
        <f>MIN(F93,J93)</f>
        <v/>
      </c>
      <c r="M93">
        <f>MIN(K93,MAX(0,F93-(J93-K93)))</f>
        <v/>
      </c>
    </row>
    <row r="94">
      <c r="A94" t="inlineStr">
        <is>
          <t>NORTHBAY-FAB</t>
        </is>
      </c>
      <c r="B94" t="inlineStr">
        <is>
          <t>2026-09-25</t>
        </is>
      </c>
      <c r="C94" t="n">
        <v>4</v>
      </c>
      <c r="D94" t="n">
        <v>20</v>
      </c>
      <c r="E94" t="n">
        <v>5</v>
      </c>
      <c r="F94" t="n">
        <v>12960</v>
      </c>
      <c r="G94" t="n">
        <v>0</v>
      </c>
      <c r="H94" t="n">
        <v>298</v>
      </c>
      <c r="I94" t="n">
        <v>0</v>
      </c>
      <c r="J94" t="n">
        <v>298</v>
      </c>
      <c r="K94" t="n">
        <v>0</v>
      </c>
      <c r="L94">
        <f>MIN(F94,J94)</f>
        <v/>
      </c>
      <c r="M94">
        <f>MIN(K94,MAX(0,F94-(J94-K94)))</f>
        <v/>
      </c>
    </row>
    <row r="95">
      <c r="A95" t="inlineStr">
        <is>
          <t>NORTHBAY-FAB</t>
        </is>
      </c>
      <c r="B95" t="inlineStr">
        <is>
          <t>2026-09-25</t>
        </is>
      </c>
      <c r="C95" t="n">
        <v>4</v>
      </c>
      <c r="D95" t="n">
        <v>21</v>
      </c>
      <c r="E95" t="n">
        <v>5</v>
      </c>
      <c r="F95" t="n">
        <v>12960</v>
      </c>
      <c r="G95" t="n">
        <v>0</v>
      </c>
      <c r="H95" t="n">
        <v>280</v>
      </c>
      <c r="I95" t="n">
        <v>0</v>
      </c>
      <c r="J95" t="n">
        <v>280</v>
      </c>
      <c r="K95" t="n">
        <v>0</v>
      </c>
      <c r="L95">
        <f>MIN(F95,J95)</f>
        <v/>
      </c>
      <c r="M95">
        <f>MIN(K95,MAX(0,F95-(J95-K95)))</f>
        <v/>
      </c>
    </row>
    <row r="96">
      <c r="A96" t="inlineStr">
        <is>
          <t>NORTHBAY-FAB</t>
        </is>
      </c>
      <c r="B96" t="inlineStr">
        <is>
          <t>2026-09-25</t>
        </is>
      </c>
      <c r="C96" t="n">
        <v>4</v>
      </c>
      <c r="D96" t="n">
        <v>22</v>
      </c>
      <c r="E96" t="n">
        <v>5</v>
      </c>
      <c r="F96" t="n">
        <v>12960</v>
      </c>
      <c r="G96" t="n">
        <v>0</v>
      </c>
      <c r="H96" t="n">
        <v>223</v>
      </c>
      <c r="I96" t="n">
        <v>0</v>
      </c>
      <c r="J96" t="n">
        <v>223</v>
      </c>
      <c r="K96" t="n">
        <v>0</v>
      </c>
      <c r="L96">
        <f>MIN(F96,J96)</f>
        <v/>
      </c>
      <c r="M96">
        <f>MIN(K96,MAX(0,F96-(J96-K96)))</f>
        <v/>
      </c>
    </row>
    <row r="97">
      <c r="A97" t="inlineStr">
        <is>
          <t>NORTHBAY-FAB</t>
        </is>
      </c>
      <c r="B97" t="inlineStr">
        <is>
          <t>2026-09-25</t>
        </is>
      </c>
      <c r="C97" t="n">
        <v>4</v>
      </c>
      <c r="D97" t="n">
        <v>23</v>
      </c>
      <c r="E97" t="n">
        <v>5</v>
      </c>
      <c r="F97" t="n">
        <v>12960</v>
      </c>
      <c r="G97" t="n">
        <v>0</v>
      </c>
      <c r="H97" t="n">
        <v>209</v>
      </c>
      <c r="I97" t="n">
        <v>0</v>
      </c>
      <c r="J97" t="n">
        <v>209</v>
      </c>
      <c r="K97" t="n">
        <v>0</v>
      </c>
      <c r="L97">
        <f>MIN(F97,J97)</f>
        <v/>
      </c>
      <c r="M97">
        <f>MIN(K97,MAX(0,F97-(J97-K97)))</f>
        <v/>
      </c>
    </row>
    <row r="98">
      <c r="A98" t="inlineStr">
        <is>
          <t>NORTHBAY-FAB</t>
        </is>
      </c>
      <c r="B98" t="inlineStr">
        <is>
          <t>2026-09-26</t>
        </is>
      </c>
      <c r="C98" t="n">
        <v>5</v>
      </c>
      <c r="D98" t="n">
        <v>0</v>
      </c>
      <c r="E98" t="n">
        <v>6</v>
      </c>
      <c r="F98" t="n">
        <v>12960</v>
      </c>
      <c r="G98" t="n">
        <v>0</v>
      </c>
      <c r="H98" t="n">
        <v>110</v>
      </c>
      <c r="I98" t="n">
        <v>0</v>
      </c>
      <c r="J98" t="n">
        <v>110</v>
      </c>
      <c r="K98" t="n">
        <v>0</v>
      </c>
      <c r="L98">
        <f>MIN(F98,J98)</f>
        <v/>
      </c>
      <c r="M98">
        <f>MIN(K98,MAX(0,F98-(J98-K98)))</f>
        <v/>
      </c>
    </row>
    <row r="99">
      <c r="A99" t="inlineStr">
        <is>
          <t>NORTHBAY-FAB</t>
        </is>
      </c>
      <c r="B99" t="inlineStr">
        <is>
          <t>2026-09-26</t>
        </is>
      </c>
      <c r="C99" t="n">
        <v>5</v>
      </c>
      <c r="D99" t="n">
        <v>1</v>
      </c>
      <c r="E99" t="n">
        <v>6</v>
      </c>
      <c r="F99" t="n">
        <v>12960</v>
      </c>
      <c r="G99" t="n">
        <v>0</v>
      </c>
      <c r="H99" t="n">
        <v>80</v>
      </c>
      <c r="I99" t="n">
        <v>0</v>
      </c>
      <c r="J99" t="n">
        <v>80</v>
      </c>
      <c r="K99" t="n">
        <v>0</v>
      </c>
      <c r="L99">
        <f>MIN(F99,J99)</f>
        <v/>
      </c>
      <c r="M99">
        <f>MIN(K99,MAX(0,F99-(J99-K99)))</f>
        <v/>
      </c>
    </row>
    <row r="100">
      <c r="A100" t="inlineStr">
        <is>
          <t>NORTHBAY-FAB</t>
        </is>
      </c>
      <c r="B100" t="inlineStr">
        <is>
          <t>2026-09-26</t>
        </is>
      </c>
      <c r="C100" t="n">
        <v>5</v>
      </c>
      <c r="D100" t="n">
        <v>2</v>
      </c>
      <c r="E100" t="n">
        <v>6</v>
      </c>
      <c r="F100" t="n">
        <v>12960</v>
      </c>
      <c r="G100" t="n">
        <v>0</v>
      </c>
      <c r="H100" t="n">
        <v>80</v>
      </c>
      <c r="I100" t="n">
        <v>0</v>
      </c>
      <c r="J100" t="n">
        <v>80</v>
      </c>
      <c r="K100" t="n">
        <v>0</v>
      </c>
      <c r="L100">
        <f>MIN(F100,J100)</f>
        <v/>
      </c>
      <c r="M100">
        <f>MIN(K100,MAX(0,F100-(J100-K100)))</f>
        <v/>
      </c>
    </row>
    <row r="101">
      <c r="A101" t="inlineStr">
        <is>
          <t>NORTHBAY-FAB</t>
        </is>
      </c>
      <c r="B101" t="inlineStr">
        <is>
          <t>2026-09-26</t>
        </is>
      </c>
      <c r="C101" t="n">
        <v>5</v>
      </c>
      <c r="D101" t="n">
        <v>3</v>
      </c>
      <c r="E101" t="n">
        <v>6</v>
      </c>
      <c r="F101" t="n">
        <v>12960</v>
      </c>
      <c r="G101" t="n">
        <v>0</v>
      </c>
      <c r="H101" t="n">
        <v>78</v>
      </c>
      <c r="I101" t="n">
        <v>0</v>
      </c>
      <c r="J101" t="n">
        <v>78</v>
      </c>
      <c r="K101" t="n">
        <v>0</v>
      </c>
      <c r="L101">
        <f>MIN(F101,J101)</f>
        <v/>
      </c>
      <c r="M101">
        <f>MIN(K101,MAX(0,F101-(J101-K101)))</f>
        <v/>
      </c>
    </row>
    <row r="102">
      <c r="A102" t="inlineStr">
        <is>
          <t>NORTHBAY-FAB</t>
        </is>
      </c>
      <c r="B102" t="inlineStr">
        <is>
          <t>2026-09-26</t>
        </is>
      </c>
      <c r="C102" t="n">
        <v>5</v>
      </c>
      <c r="D102" t="n">
        <v>4</v>
      </c>
      <c r="E102" t="n">
        <v>6</v>
      </c>
      <c r="F102" t="n">
        <v>12960</v>
      </c>
      <c r="G102" t="n">
        <v>0</v>
      </c>
      <c r="H102" t="n">
        <v>79</v>
      </c>
      <c r="I102" t="n">
        <v>0</v>
      </c>
      <c r="J102" t="n">
        <v>79</v>
      </c>
      <c r="K102" t="n">
        <v>0</v>
      </c>
      <c r="L102">
        <f>MIN(F102,J102)</f>
        <v/>
      </c>
      <c r="M102">
        <f>MIN(K102,MAX(0,F102-(J102-K102)))</f>
        <v/>
      </c>
    </row>
    <row r="103">
      <c r="A103" t="inlineStr">
        <is>
          <t>NORTHBAY-FAB</t>
        </is>
      </c>
      <c r="B103" t="inlineStr">
        <is>
          <t>2026-09-26</t>
        </is>
      </c>
      <c r="C103" t="n">
        <v>5</v>
      </c>
      <c r="D103" t="n">
        <v>5</v>
      </c>
      <c r="E103" t="n">
        <v>6</v>
      </c>
      <c r="F103" t="n">
        <v>12960</v>
      </c>
      <c r="G103" t="n">
        <v>19</v>
      </c>
      <c r="H103" t="n">
        <v>89</v>
      </c>
      <c r="I103" t="n">
        <v>0</v>
      </c>
      <c r="J103" t="n">
        <v>108</v>
      </c>
      <c r="K103" t="n">
        <v>0</v>
      </c>
      <c r="L103">
        <f>MIN(F103,J103)</f>
        <v/>
      </c>
      <c r="M103">
        <f>MIN(K103,MAX(0,F103-(J103-K103)))</f>
        <v/>
      </c>
    </row>
    <row r="104">
      <c r="A104" t="inlineStr">
        <is>
          <t>NORTHBAY-FAB</t>
        </is>
      </c>
      <c r="B104" t="inlineStr">
        <is>
          <t>2026-09-26</t>
        </is>
      </c>
      <c r="C104" t="n">
        <v>5</v>
      </c>
      <c r="D104" t="n">
        <v>6</v>
      </c>
      <c r="E104" t="n">
        <v>6</v>
      </c>
      <c r="F104" t="n">
        <v>12960</v>
      </c>
      <c r="G104" t="n">
        <v>918</v>
      </c>
      <c r="H104" t="n">
        <v>82</v>
      </c>
      <c r="I104" t="n">
        <v>0</v>
      </c>
      <c r="J104" t="n">
        <v>1000</v>
      </c>
      <c r="K104" t="n">
        <v>0</v>
      </c>
      <c r="L104">
        <f>MIN(F104,J104)</f>
        <v/>
      </c>
      <c r="M104">
        <f>MIN(K104,MAX(0,F104-(J104-K104)))</f>
        <v/>
      </c>
    </row>
    <row r="105">
      <c r="A105" t="inlineStr">
        <is>
          <t>NORTHBAY-FAB</t>
        </is>
      </c>
      <c r="B105" t="inlineStr">
        <is>
          <t>2026-09-26</t>
        </is>
      </c>
      <c r="C105" t="n">
        <v>5</v>
      </c>
      <c r="D105" t="n">
        <v>7</v>
      </c>
      <c r="E105" t="n">
        <v>6</v>
      </c>
      <c r="F105" t="n">
        <v>12960</v>
      </c>
      <c r="G105" t="n">
        <v>6417</v>
      </c>
      <c r="H105" t="n">
        <v>68</v>
      </c>
      <c r="I105" t="n">
        <v>0</v>
      </c>
      <c r="J105" t="n">
        <v>6485</v>
      </c>
      <c r="K105" t="n">
        <v>0</v>
      </c>
      <c r="L105">
        <f>MIN(F105,J105)</f>
        <v/>
      </c>
      <c r="M105">
        <f>MIN(K105,MAX(0,F105-(J105-K105)))</f>
        <v/>
      </c>
    </row>
    <row r="106">
      <c r="A106" t="inlineStr">
        <is>
          <t>NORTHBAY-FAB</t>
        </is>
      </c>
      <c r="B106" t="inlineStr">
        <is>
          <t>2026-09-26</t>
        </is>
      </c>
      <c r="C106" t="n">
        <v>5</v>
      </c>
      <c r="D106" t="n">
        <v>8</v>
      </c>
      <c r="E106" t="n">
        <v>6</v>
      </c>
      <c r="F106" t="n">
        <v>12960</v>
      </c>
      <c r="G106" t="n">
        <v>12493</v>
      </c>
      <c r="H106" t="n">
        <v>128</v>
      </c>
      <c r="I106" t="n">
        <v>0</v>
      </c>
      <c r="J106" t="n">
        <v>12621</v>
      </c>
      <c r="K106" t="n">
        <v>0</v>
      </c>
      <c r="L106">
        <f>MIN(F106,J106)</f>
        <v/>
      </c>
      <c r="M106">
        <f>MIN(K106,MAX(0,F106-(J106-K106)))</f>
        <v/>
      </c>
    </row>
    <row r="107">
      <c r="A107" t="inlineStr">
        <is>
          <t>NORTHBAY-FAB</t>
        </is>
      </c>
      <c r="B107" t="inlineStr">
        <is>
          <t>2026-09-26</t>
        </is>
      </c>
      <c r="C107" t="n">
        <v>5</v>
      </c>
      <c r="D107" t="n">
        <v>9</v>
      </c>
      <c r="E107" t="n">
        <v>6</v>
      </c>
      <c r="F107" t="n">
        <v>12960</v>
      </c>
      <c r="G107" t="n">
        <v>17817</v>
      </c>
      <c r="H107" t="n">
        <v>118</v>
      </c>
      <c r="I107" t="n">
        <v>0</v>
      </c>
      <c r="J107" t="n">
        <v>17935</v>
      </c>
      <c r="K107" t="n">
        <v>0</v>
      </c>
      <c r="L107">
        <f>MIN(F107,J107)</f>
        <v/>
      </c>
      <c r="M107">
        <f>MIN(K107,MAX(0,F107-(J107-K107)))</f>
        <v/>
      </c>
    </row>
    <row r="108">
      <c r="A108" t="inlineStr">
        <is>
          <t>NORTHBAY-FAB</t>
        </is>
      </c>
      <c r="B108" t="inlineStr">
        <is>
          <t>2026-09-26</t>
        </is>
      </c>
      <c r="C108" t="n">
        <v>5</v>
      </c>
      <c r="D108" t="n">
        <v>10</v>
      </c>
      <c r="E108" t="n">
        <v>6</v>
      </c>
      <c r="F108" t="n">
        <v>12960</v>
      </c>
      <c r="G108" t="n">
        <v>22012</v>
      </c>
      <c r="H108" t="n">
        <v>140</v>
      </c>
      <c r="I108" t="n">
        <v>0</v>
      </c>
      <c r="J108" t="n">
        <v>22152</v>
      </c>
      <c r="K108" t="n">
        <v>0</v>
      </c>
      <c r="L108">
        <f>MIN(F108,J108)</f>
        <v/>
      </c>
      <c r="M108">
        <f>MIN(K108,MAX(0,F108-(J108-K108)))</f>
        <v/>
      </c>
    </row>
    <row r="109">
      <c r="A109" t="inlineStr">
        <is>
          <t>NORTHBAY-FAB</t>
        </is>
      </c>
      <c r="B109" t="inlineStr">
        <is>
          <t>2026-09-26</t>
        </is>
      </c>
      <c r="C109" t="n">
        <v>5</v>
      </c>
      <c r="D109" t="n">
        <v>11</v>
      </c>
      <c r="E109" t="n">
        <v>6</v>
      </c>
      <c r="F109" t="n">
        <v>12960</v>
      </c>
      <c r="G109" t="n">
        <v>23936</v>
      </c>
      <c r="H109" t="n">
        <v>202</v>
      </c>
      <c r="I109" t="n">
        <v>0</v>
      </c>
      <c r="J109" t="n">
        <v>24138</v>
      </c>
      <c r="K109" t="n">
        <v>0</v>
      </c>
      <c r="L109">
        <f>MIN(F109,J109)</f>
        <v/>
      </c>
      <c r="M109">
        <f>MIN(K109,MAX(0,F109-(J109-K109)))</f>
        <v/>
      </c>
    </row>
    <row r="110">
      <c r="A110" t="inlineStr">
        <is>
          <t>NORTHBAY-FAB</t>
        </is>
      </c>
      <c r="B110" t="inlineStr">
        <is>
          <t>2026-09-26</t>
        </is>
      </c>
      <c r="C110" t="n">
        <v>5</v>
      </c>
      <c r="D110" t="n">
        <v>12</v>
      </c>
      <c r="E110" t="n">
        <v>6</v>
      </c>
      <c r="F110" t="n">
        <v>12960</v>
      </c>
      <c r="G110" t="n">
        <v>24525</v>
      </c>
      <c r="H110" t="n">
        <v>278</v>
      </c>
      <c r="I110" t="n">
        <v>0</v>
      </c>
      <c r="J110" t="n">
        <v>24803</v>
      </c>
      <c r="K110" t="n">
        <v>0</v>
      </c>
      <c r="L110">
        <f>MIN(F110,J110)</f>
        <v/>
      </c>
      <c r="M110">
        <f>MIN(K110,MAX(0,F110-(J110-K110)))</f>
        <v/>
      </c>
    </row>
    <row r="111">
      <c r="A111" t="inlineStr">
        <is>
          <t>NORTHBAY-FAB</t>
        </is>
      </c>
      <c r="B111" t="inlineStr">
        <is>
          <t>2026-09-26</t>
        </is>
      </c>
      <c r="C111" t="n">
        <v>5</v>
      </c>
      <c r="D111" t="n">
        <v>13</v>
      </c>
      <c r="E111" t="n">
        <v>6</v>
      </c>
      <c r="F111" t="n">
        <v>12960</v>
      </c>
      <c r="G111" t="n">
        <v>23495</v>
      </c>
      <c r="H111" t="n">
        <v>478</v>
      </c>
      <c r="I111" t="n">
        <v>0</v>
      </c>
      <c r="J111" t="n">
        <v>23973</v>
      </c>
      <c r="K111" t="n">
        <v>0</v>
      </c>
      <c r="L111">
        <f>MIN(F111,J111)</f>
        <v/>
      </c>
      <c r="M111">
        <f>MIN(K111,MAX(0,F111-(J111-K111)))</f>
        <v/>
      </c>
    </row>
    <row r="112">
      <c r="A112" t="inlineStr">
        <is>
          <t>NORTHBAY-FAB</t>
        </is>
      </c>
      <c r="B112" t="inlineStr">
        <is>
          <t>2026-09-26</t>
        </is>
      </c>
      <c r="C112" t="n">
        <v>5</v>
      </c>
      <c r="D112" t="n">
        <v>14</v>
      </c>
      <c r="E112" t="n">
        <v>6</v>
      </c>
      <c r="F112" t="n">
        <v>12960</v>
      </c>
      <c r="G112" t="n">
        <v>20774</v>
      </c>
      <c r="H112" t="n">
        <v>700</v>
      </c>
      <c r="I112" t="n">
        <v>0</v>
      </c>
      <c r="J112" t="n">
        <v>21474</v>
      </c>
      <c r="K112" t="n">
        <v>0</v>
      </c>
      <c r="L112">
        <f>MIN(F112,J112)</f>
        <v/>
      </c>
      <c r="M112">
        <f>MIN(K112,MAX(0,F112-(J112-K112)))</f>
        <v/>
      </c>
    </row>
    <row r="113">
      <c r="A113" t="inlineStr">
        <is>
          <t>NORTHBAY-FAB</t>
        </is>
      </c>
      <c r="B113" t="inlineStr">
        <is>
          <t>2026-09-26</t>
        </is>
      </c>
      <c r="C113" t="n">
        <v>5</v>
      </c>
      <c r="D113" t="n">
        <v>15</v>
      </c>
      <c r="E113" t="n">
        <v>6</v>
      </c>
      <c r="F113" t="n">
        <v>12960</v>
      </c>
      <c r="G113" t="n">
        <v>15317</v>
      </c>
      <c r="H113" t="n">
        <v>943</v>
      </c>
      <c r="I113" t="n">
        <v>0</v>
      </c>
      <c r="J113" t="n">
        <v>16260</v>
      </c>
      <c r="K113" t="n">
        <v>0</v>
      </c>
      <c r="L113">
        <f>MIN(F113,J113)</f>
        <v/>
      </c>
      <c r="M113">
        <f>MIN(K113,MAX(0,F113-(J113-K113)))</f>
        <v/>
      </c>
    </row>
    <row r="114">
      <c r="A114" t="inlineStr">
        <is>
          <t>NORTHBAY-FAB</t>
        </is>
      </c>
      <c r="B114" t="inlineStr">
        <is>
          <t>2026-09-26</t>
        </is>
      </c>
      <c r="C114" t="n">
        <v>5</v>
      </c>
      <c r="D114" t="n">
        <v>16</v>
      </c>
      <c r="E114" t="n">
        <v>6</v>
      </c>
      <c r="F114" t="n">
        <v>12960</v>
      </c>
      <c r="G114" t="n">
        <v>8480</v>
      </c>
      <c r="H114" t="n">
        <v>685</v>
      </c>
      <c r="I114" t="n">
        <v>0</v>
      </c>
      <c r="J114" t="n">
        <v>9165</v>
      </c>
      <c r="K114" t="n">
        <v>0</v>
      </c>
      <c r="L114">
        <f>MIN(F114,J114)</f>
        <v/>
      </c>
      <c r="M114">
        <f>MIN(K114,MAX(0,F114-(J114-K114)))</f>
        <v/>
      </c>
    </row>
    <row r="115">
      <c r="A115" t="inlineStr">
        <is>
          <t>NORTHBAY-FAB</t>
        </is>
      </c>
      <c r="B115" t="inlineStr">
        <is>
          <t>2026-09-26</t>
        </is>
      </c>
      <c r="C115" t="n">
        <v>5</v>
      </c>
      <c r="D115" t="n">
        <v>17</v>
      </c>
      <c r="E115" t="n">
        <v>6</v>
      </c>
      <c r="F115" t="n">
        <v>12960</v>
      </c>
      <c r="G115" t="n">
        <v>1965</v>
      </c>
      <c r="H115" t="n">
        <v>481</v>
      </c>
      <c r="I115" t="n">
        <v>0</v>
      </c>
      <c r="J115" t="n">
        <v>2446</v>
      </c>
      <c r="K115" t="n">
        <v>0</v>
      </c>
      <c r="L115">
        <f>MIN(F115,J115)</f>
        <v/>
      </c>
      <c r="M115">
        <f>MIN(K115,MAX(0,F115-(J115-K115)))</f>
        <v/>
      </c>
    </row>
    <row r="116">
      <c r="A116" t="inlineStr">
        <is>
          <t>NORTHBAY-FAB</t>
        </is>
      </c>
      <c r="B116" t="inlineStr">
        <is>
          <t>2026-09-26</t>
        </is>
      </c>
      <c r="C116" t="n">
        <v>5</v>
      </c>
      <c r="D116" t="n">
        <v>18</v>
      </c>
      <c r="E116" t="n">
        <v>6</v>
      </c>
      <c r="F116" t="n">
        <v>12960</v>
      </c>
      <c r="G116" t="n">
        <v>0</v>
      </c>
      <c r="H116" t="n">
        <v>142</v>
      </c>
      <c r="I116" t="n">
        <v>0</v>
      </c>
      <c r="J116" t="n">
        <v>142</v>
      </c>
      <c r="K116" t="n">
        <v>0</v>
      </c>
      <c r="L116">
        <f>MIN(F116,J116)</f>
        <v/>
      </c>
      <c r="M116">
        <f>MIN(K116,MAX(0,F116-(J116-K116)))</f>
        <v/>
      </c>
    </row>
    <row r="117">
      <c r="A117" t="inlineStr">
        <is>
          <t>NORTHBAY-FAB</t>
        </is>
      </c>
      <c r="B117" t="inlineStr">
        <is>
          <t>2026-09-26</t>
        </is>
      </c>
      <c r="C117" t="n">
        <v>5</v>
      </c>
      <c r="D117" t="n">
        <v>19</v>
      </c>
      <c r="E117" t="n">
        <v>6</v>
      </c>
      <c r="F117" t="n">
        <v>12960</v>
      </c>
      <c r="G117" t="n">
        <v>0</v>
      </c>
      <c r="H117" t="n">
        <v>164</v>
      </c>
      <c r="I117" t="n">
        <v>0</v>
      </c>
      <c r="J117" t="n">
        <v>164</v>
      </c>
      <c r="K117" t="n">
        <v>0</v>
      </c>
      <c r="L117">
        <f>MIN(F117,J117)</f>
        <v/>
      </c>
      <c r="M117">
        <f>MIN(K117,MAX(0,F117-(J117-K117)))</f>
        <v/>
      </c>
    </row>
    <row r="118">
      <c r="A118" t="inlineStr">
        <is>
          <t>NORTHBAY-FAB</t>
        </is>
      </c>
      <c r="B118" t="inlineStr">
        <is>
          <t>2026-09-26</t>
        </is>
      </c>
      <c r="C118" t="n">
        <v>5</v>
      </c>
      <c r="D118" t="n">
        <v>20</v>
      </c>
      <c r="E118" t="n">
        <v>6</v>
      </c>
      <c r="F118" t="n">
        <v>12960</v>
      </c>
      <c r="G118" t="n">
        <v>0</v>
      </c>
      <c r="H118" t="n">
        <v>222</v>
      </c>
      <c r="I118" t="n">
        <v>0</v>
      </c>
      <c r="J118" t="n">
        <v>222</v>
      </c>
      <c r="K118" t="n">
        <v>0</v>
      </c>
      <c r="L118">
        <f>MIN(F118,J118)</f>
        <v/>
      </c>
      <c r="M118">
        <f>MIN(K118,MAX(0,F118-(J118-K118)))</f>
        <v/>
      </c>
    </row>
    <row r="119">
      <c r="A119" t="inlineStr">
        <is>
          <t>NORTHBAY-FAB</t>
        </is>
      </c>
      <c r="B119" t="inlineStr">
        <is>
          <t>2026-09-26</t>
        </is>
      </c>
      <c r="C119" t="n">
        <v>5</v>
      </c>
      <c r="D119" t="n">
        <v>21</v>
      </c>
      <c r="E119" t="n">
        <v>6</v>
      </c>
      <c r="F119" t="n">
        <v>12960</v>
      </c>
      <c r="G119" t="n">
        <v>0</v>
      </c>
      <c r="H119" t="n">
        <v>262</v>
      </c>
      <c r="I119" t="n">
        <v>0</v>
      </c>
      <c r="J119" t="n">
        <v>262</v>
      </c>
      <c r="K119" t="n">
        <v>0</v>
      </c>
      <c r="L119">
        <f>MIN(F119,J119)</f>
        <v/>
      </c>
      <c r="M119">
        <f>MIN(K119,MAX(0,F119-(J119-K119)))</f>
        <v/>
      </c>
    </row>
    <row r="120">
      <c r="A120" t="inlineStr">
        <is>
          <t>NORTHBAY-FAB</t>
        </is>
      </c>
      <c r="B120" t="inlineStr">
        <is>
          <t>2026-09-26</t>
        </is>
      </c>
      <c r="C120" t="n">
        <v>5</v>
      </c>
      <c r="D120" t="n">
        <v>22</v>
      </c>
      <c r="E120" t="n">
        <v>6</v>
      </c>
      <c r="F120" t="n">
        <v>12960</v>
      </c>
      <c r="G120" t="n">
        <v>0</v>
      </c>
      <c r="H120" t="n">
        <v>353</v>
      </c>
      <c r="I120" t="n">
        <v>0</v>
      </c>
      <c r="J120" t="n">
        <v>353</v>
      </c>
      <c r="K120" t="n">
        <v>0</v>
      </c>
      <c r="L120">
        <f>MIN(F120,J120)</f>
        <v/>
      </c>
      <c r="M120">
        <f>MIN(K120,MAX(0,F120-(J120-K120)))</f>
        <v/>
      </c>
    </row>
    <row r="121">
      <c r="A121" t="inlineStr">
        <is>
          <t>NORTHBAY-FAB</t>
        </is>
      </c>
      <c r="B121" t="inlineStr">
        <is>
          <t>2026-09-26</t>
        </is>
      </c>
      <c r="C121" t="n">
        <v>5</v>
      </c>
      <c r="D121" t="n">
        <v>23</v>
      </c>
      <c r="E121" t="n">
        <v>6</v>
      </c>
      <c r="F121" t="n">
        <v>12960</v>
      </c>
      <c r="G121" t="n">
        <v>0</v>
      </c>
      <c r="H121" t="n">
        <v>492</v>
      </c>
      <c r="I121" t="n">
        <v>0</v>
      </c>
      <c r="J121" t="n">
        <v>492</v>
      </c>
      <c r="K121" t="n">
        <v>0</v>
      </c>
      <c r="L121">
        <f>MIN(F121,J121)</f>
        <v/>
      </c>
      <c r="M121">
        <f>MIN(K121,MAX(0,F121-(J121-K121)))</f>
        <v/>
      </c>
    </row>
    <row r="122">
      <c r="A122" t="inlineStr">
        <is>
          <t>NORTHBAY-FAB</t>
        </is>
      </c>
      <c r="B122" t="inlineStr">
        <is>
          <t>2026-09-27</t>
        </is>
      </c>
      <c r="C122" t="n">
        <v>6</v>
      </c>
      <c r="D122" t="n">
        <v>0</v>
      </c>
      <c r="E122" t="n">
        <v>7</v>
      </c>
      <c r="F122" t="n">
        <v>12960</v>
      </c>
      <c r="G122" t="n">
        <v>0</v>
      </c>
      <c r="H122" t="n">
        <v>446</v>
      </c>
      <c r="I122" t="n">
        <v>0</v>
      </c>
      <c r="J122" t="n">
        <v>446</v>
      </c>
      <c r="K122" t="n">
        <v>0</v>
      </c>
      <c r="L122">
        <f>MIN(F122,J122)</f>
        <v/>
      </c>
      <c r="M122">
        <f>MIN(K122,MAX(0,F122-(J122-K122)))</f>
        <v/>
      </c>
    </row>
    <row r="123">
      <c r="A123" t="inlineStr">
        <is>
          <t>NORTHBAY-FAB</t>
        </is>
      </c>
      <c r="B123" t="inlineStr">
        <is>
          <t>2026-09-27</t>
        </is>
      </c>
      <c r="C123" t="n">
        <v>6</v>
      </c>
      <c r="D123" t="n">
        <v>1</v>
      </c>
      <c r="E123" t="n">
        <v>7</v>
      </c>
      <c r="F123" t="n">
        <v>12960</v>
      </c>
      <c r="G123" t="n">
        <v>0</v>
      </c>
      <c r="H123" t="n">
        <v>312</v>
      </c>
      <c r="I123" t="n">
        <v>0</v>
      </c>
      <c r="J123" t="n">
        <v>312</v>
      </c>
      <c r="K123" t="n">
        <v>0</v>
      </c>
      <c r="L123">
        <f>MIN(F123,J123)</f>
        <v/>
      </c>
      <c r="M123">
        <f>MIN(K123,MAX(0,F123-(J123-K123)))</f>
        <v/>
      </c>
    </row>
    <row r="124">
      <c r="A124" t="inlineStr">
        <is>
          <t>NORTHBAY-FAB</t>
        </is>
      </c>
      <c r="B124" t="inlineStr">
        <is>
          <t>2026-09-27</t>
        </is>
      </c>
      <c r="C124" t="n">
        <v>6</v>
      </c>
      <c r="D124" t="n">
        <v>2</v>
      </c>
      <c r="E124" t="n">
        <v>7</v>
      </c>
      <c r="F124" t="n">
        <v>12960</v>
      </c>
      <c r="G124" t="n">
        <v>0</v>
      </c>
      <c r="H124" t="n">
        <v>347</v>
      </c>
      <c r="I124" t="n">
        <v>0</v>
      </c>
      <c r="J124" t="n">
        <v>347</v>
      </c>
      <c r="K124" t="n">
        <v>0</v>
      </c>
      <c r="L124">
        <f>MIN(F124,J124)</f>
        <v/>
      </c>
      <c r="M124">
        <f>MIN(K124,MAX(0,F124-(J124-K124)))</f>
        <v/>
      </c>
    </row>
    <row r="125">
      <c r="A125" t="inlineStr">
        <is>
          <t>NORTHBAY-FAB</t>
        </is>
      </c>
      <c r="B125" t="inlineStr">
        <is>
          <t>2026-09-27</t>
        </is>
      </c>
      <c r="C125" t="n">
        <v>6</v>
      </c>
      <c r="D125" t="n">
        <v>3</v>
      </c>
      <c r="E125" t="n">
        <v>7</v>
      </c>
      <c r="F125" t="n">
        <v>12960</v>
      </c>
      <c r="G125" t="n">
        <v>0</v>
      </c>
      <c r="H125" t="n">
        <v>761</v>
      </c>
      <c r="I125" t="n">
        <v>0</v>
      </c>
      <c r="J125" t="n">
        <v>761</v>
      </c>
      <c r="K125" t="n">
        <v>0</v>
      </c>
      <c r="L125">
        <f>MIN(F125,J125)</f>
        <v/>
      </c>
      <c r="M125">
        <f>MIN(K125,MAX(0,F125-(J125-K125)))</f>
        <v/>
      </c>
    </row>
    <row r="126">
      <c r="A126" t="inlineStr">
        <is>
          <t>NORTHBAY-FAB</t>
        </is>
      </c>
      <c r="B126" t="inlineStr">
        <is>
          <t>2026-09-27</t>
        </is>
      </c>
      <c r="C126" t="n">
        <v>6</v>
      </c>
      <c r="D126" t="n">
        <v>4</v>
      </c>
      <c r="E126" t="n">
        <v>7</v>
      </c>
      <c r="F126" t="n">
        <v>12960</v>
      </c>
      <c r="G126" t="n">
        <v>0</v>
      </c>
      <c r="H126" t="n">
        <v>1301</v>
      </c>
      <c r="I126" t="n">
        <v>0</v>
      </c>
      <c r="J126" t="n">
        <v>1301</v>
      </c>
      <c r="K126" t="n">
        <v>0</v>
      </c>
      <c r="L126">
        <f>MIN(F126,J126)</f>
        <v/>
      </c>
      <c r="M126">
        <f>MIN(K126,MAX(0,F126-(J126-K126)))</f>
        <v/>
      </c>
    </row>
    <row r="127">
      <c r="A127" t="inlineStr">
        <is>
          <t>NORTHBAY-FAB</t>
        </is>
      </c>
      <c r="B127" t="inlineStr">
        <is>
          <t>2026-09-27</t>
        </is>
      </c>
      <c r="C127" t="n">
        <v>6</v>
      </c>
      <c r="D127" t="n">
        <v>5</v>
      </c>
      <c r="E127" t="n">
        <v>7</v>
      </c>
      <c r="F127" t="n">
        <v>12960</v>
      </c>
      <c r="G127" t="n">
        <v>20</v>
      </c>
      <c r="H127" t="n">
        <v>1551</v>
      </c>
      <c r="I127" t="n">
        <v>0</v>
      </c>
      <c r="J127" t="n">
        <v>1571</v>
      </c>
      <c r="K127" t="n">
        <v>0</v>
      </c>
      <c r="L127">
        <f>MIN(F127,J127)</f>
        <v/>
      </c>
      <c r="M127">
        <f>MIN(K127,MAX(0,F127-(J127-K127)))</f>
        <v/>
      </c>
    </row>
    <row r="128">
      <c r="A128" t="inlineStr">
        <is>
          <t>NORTHBAY-FAB</t>
        </is>
      </c>
      <c r="B128" t="inlineStr">
        <is>
          <t>2026-09-27</t>
        </is>
      </c>
      <c r="C128" t="n">
        <v>6</v>
      </c>
      <c r="D128" t="n">
        <v>6</v>
      </c>
      <c r="E128" t="n">
        <v>7</v>
      </c>
      <c r="F128" t="n">
        <v>12960</v>
      </c>
      <c r="G128" t="n">
        <v>1056</v>
      </c>
      <c r="H128" t="n">
        <v>1578</v>
      </c>
      <c r="I128" t="n">
        <v>0</v>
      </c>
      <c r="J128" t="n">
        <v>2634</v>
      </c>
      <c r="K128" t="n">
        <v>0</v>
      </c>
      <c r="L128">
        <f>MIN(F128,J128)</f>
        <v/>
      </c>
      <c r="M128">
        <f>MIN(K128,MAX(0,F128-(J128-K128)))</f>
        <v/>
      </c>
    </row>
    <row r="129">
      <c r="A129" t="inlineStr">
        <is>
          <t>NORTHBAY-FAB</t>
        </is>
      </c>
      <c r="B129" t="inlineStr">
        <is>
          <t>2026-09-27</t>
        </is>
      </c>
      <c r="C129" t="n">
        <v>6</v>
      </c>
      <c r="D129" t="n">
        <v>7</v>
      </c>
      <c r="E129" t="n">
        <v>7</v>
      </c>
      <c r="F129" t="n">
        <v>12960</v>
      </c>
      <c r="G129" t="n">
        <v>6726</v>
      </c>
      <c r="H129" t="n">
        <v>1833</v>
      </c>
      <c r="I129" t="n">
        <v>0</v>
      </c>
      <c r="J129" t="n">
        <v>8559</v>
      </c>
      <c r="K129" t="n">
        <v>0</v>
      </c>
      <c r="L129">
        <f>MIN(F129,J129)</f>
        <v/>
      </c>
      <c r="M129">
        <f>MIN(K129,MAX(0,F129-(J129-K129)))</f>
        <v/>
      </c>
    </row>
    <row r="130">
      <c r="A130" t="inlineStr">
        <is>
          <t>NORTHBAY-FAB</t>
        </is>
      </c>
      <c r="B130" t="inlineStr">
        <is>
          <t>2026-09-27</t>
        </is>
      </c>
      <c r="C130" t="n">
        <v>6</v>
      </c>
      <c r="D130" t="n">
        <v>8</v>
      </c>
      <c r="E130" t="n">
        <v>7</v>
      </c>
      <c r="F130" t="n">
        <v>12960</v>
      </c>
      <c r="G130" t="n">
        <v>14217</v>
      </c>
      <c r="H130" t="n">
        <v>2093</v>
      </c>
      <c r="I130" t="n">
        <v>0</v>
      </c>
      <c r="J130" t="n">
        <v>16310</v>
      </c>
      <c r="K130" t="n">
        <v>0</v>
      </c>
      <c r="L130">
        <f>MIN(F130,J130)</f>
        <v/>
      </c>
      <c r="M130">
        <f>MIN(K130,MAX(0,F130-(J130-K130)))</f>
        <v/>
      </c>
    </row>
    <row r="131">
      <c r="A131" t="inlineStr">
        <is>
          <t>NORTHBAY-FAB</t>
        </is>
      </c>
      <c r="B131" t="inlineStr">
        <is>
          <t>2026-09-27</t>
        </is>
      </c>
      <c r="C131" t="n">
        <v>6</v>
      </c>
      <c r="D131" t="n">
        <v>9</v>
      </c>
      <c r="E131" t="n">
        <v>7</v>
      </c>
      <c r="F131" t="n">
        <v>12960</v>
      </c>
      <c r="G131" t="n">
        <v>19754</v>
      </c>
      <c r="H131" t="n">
        <v>3412</v>
      </c>
      <c r="I131" t="n">
        <v>0</v>
      </c>
      <c r="J131" t="n">
        <v>23166</v>
      </c>
      <c r="K131" t="n">
        <v>0</v>
      </c>
      <c r="L131">
        <f>MIN(F131,J131)</f>
        <v/>
      </c>
      <c r="M131">
        <f>MIN(K131,MAX(0,F131-(J131-K131)))</f>
        <v/>
      </c>
    </row>
    <row r="132">
      <c r="A132" t="inlineStr">
        <is>
          <t>NORTHBAY-FAB</t>
        </is>
      </c>
      <c r="B132" t="inlineStr">
        <is>
          <t>2026-09-27</t>
        </is>
      </c>
      <c r="C132" t="n">
        <v>6</v>
      </c>
      <c r="D132" t="n">
        <v>10</v>
      </c>
      <c r="E132" t="n">
        <v>7</v>
      </c>
      <c r="F132" t="n">
        <v>12960</v>
      </c>
      <c r="G132" t="n">
        <v>23498</v>
      </c>
      <c r="H132" t="n">
        <v>4661</v>
      </c>
      <c r="I132" t="n">
        <v>0</v>
      </c>
      <c r="J132" t="n">
        <v>28159</v>
      </c>
      <c r="K132" t="n">
        <v>0</v>
      </c>
      <c r="L132">
        <f>MIN(F132,J132)</f>
        <v/>
      </c>
      <c r="M132">
        <f>MIN(K132,MAX(0,F132-(J132-K132)))</f>
        <v/>
      </c>
    </row>
    <row r="133">
      <c r="A133" t="inlineStr">
        <is>
          <t>NORTHBAY-FAB</t>
        </is>
      </c>
      <c r="B133" t="inlineStr">
        <is>
          <t>2026-09-27</t>
        </is>
      </c>
      <c r="C133" t="n">
        <v>6</v>
      </c>
      <c r="D133" t="n">
        <v>11</v>
      </c>
      <c r="E133" t="n">
        <v>7</v>
      </c>
      <c r="F133" t="n">
        <v>12960</v>
      </c>
      <c r="G133" t="n">
        <v>25202</v>
      </c>
      <c r="H133" t="n">
        <v>4435</v>
      </c>
      <c r="I133" t="n">
        <v>0</v>
      </c>
      <c r="J133" t="n">
        <v>29637</v>
      </c>
      <c r="K133" t="n">
        <v>0</v>
      </c>
      <c r="L133">
        <f>MIN(F133,J133)</f>
        <v/>
      </c>
      <c r="M133">
        <f>MIN(K133,MAX(0,F133-(J133-K133)))</f>
        <v/>
      </c>
    </row>
    <row r="134">
      <c r="A134" t="inlineStr">
        <is>
          <t>NORTHBAY-FAB</t>
        </is>
      </c>
      <c r="B134" t="inlineStr">
        <is>
          <t>2026-09-27</t>
        </is>
      </c>
      <c r="C134" t="n">
        <v>6</v>
      </c>
      <c r="D134" t="n">
        <v>12</v>
      </c>
      <c r="E134" t="n">
        <v>7</v>
      </c>
      <c r="F134" t="n">
        <v>12960</v>
      </c>
      <c r="G134" t="n">
        <v>25500</v>
      </c>
      <c r="H134" t="n">
        <v>4005</v>
      </c>
      <c r="I134" t="n">
        <v>0</v>
      </c>
      <c r="J134" t="n">
        <v>29505</v>
      </c>
      <c r="K134" t="n">
        <v>0</v>
      </c>
      <c r="L134">
        <f>MIN(F134,J134)</f>
        <v/>
      </c>
      <c r="M134">
        <f>MIN(K134,MAX(0,F134-(J134-K134)))</f>
        <v/>
      </c>
    </row>
    <row r="135">
      <c r="A135" t="inlineStr">
        <is>
          <t>NORTHBAY-FAB</t>
        </is>
      </c>
      <c r="B135" t="inlineStr">
        <is>
          <t>2026-09-27</t>
        </is>
      </c>
      <c r="C135" t="n">
        <v>6</v>
      </c>
      <c r="D135" t="n">
        <v>13</v>
      </c>
      <c r="E135" t="n">
        <v>7</v>
      </c>
      <c r="F135" t="n">
        <v>12960</v>
      </c>
      <c r="G135" t="n">
        <v>23704</v>
      </c>
      <c r="H135" t="n">
        <v>3813</v>
      </c>
      <c r="I135" t="n">
        <v>0</v>
      </c>
      <c r="J135" t="n">
        <v>27517</v>
      </c>
      <c r="K135" t="n">
        <v>0</v>
      </c>
      <c r="L135">
        <f>MIN(F135,J135)</f>
        <v/>
      </c>
      <c r="M135">
        <f>MIN(K135,MAX(0,F135-(J135-K135)))</f>
        <v/>
      </c>
    </row>
    <row r="136">
      <c r="A136" t="inlineStr">
        <is>
          <t>NORTHBAY-FAB</t>
        </is>
      </c>
      <c r="B136" t="inlineStr">
        <is>
          <t>2026-09-27</t>
        </is>
      </c>
      <c r="C136" t="n">
        <v>6</v>
      </c>
      <c r="D136" t="n">
        <v>14</v>
      </c>
      <c r="E136" t="n">
        <v>7</v>
      </c>
      <c r="F136" t="n">
        <v>12960</v>
      </c>
      <c r="G136" t="n">
        <v>20674</v>
      </c>
      <c r="H136" t="n">
        <v>3273</v>
      </c>
      <c r="I136" t="n">
        <v>0</v>
      </c>
      <c r="J136" t="n">
        <v>23947</v>
      </c>
      <c r="K136" t="n">
        <v>0</v>
      </c>
      <c r="L136">
        <f>MIN(F136,J136)</f>
        <v/>
      </c>
      <c r="M136">
        <f>MIN(K136,MAX(0,F136-(J136-K136)))</f>
        <v/>
      </c>
    </row>
    <row r="137">
      <c r="A137" t="inlineStr">
        <is>
          <t>NORTHBAY-FAB</t>
        </is>
      </c>
      <c r="B137" t="inlineStr">
        <is>
          <t>2026-09-27</t>
        </is>
      </c>
      <c r="C137" t="n">
        <v>6</v>
      </c>
      <c r="D137" t="n">
        <v>15</v>
      </c>
      <c r="E137" t="n">
        <v>7</v>
      </c>
      <c r="F137" t="n">
        <v>12960</v>
      </c>
      <c r="G137" t="n">
        <v>15420</v>
      </c>
      <c r="H137" t="n">
        <v>3147</v>
      </c>
      <c r="I137" t="n">
        <v>0</v>
      </c>
      <c r="J137" t="n">
        <v>18567</v>
      </c>
      <c r="K137" t="n">
        <v>0</v>
      </c>
      <c r="L137">
        <f>MIN(F137,J137)</f>
        <v/>
      </c>
      <c r="M137">
        <f>MIN(K137,MAX(0,F137-(J137-K137)))</f>
        <v/>
      </c>
    </row>
    <row r="138">
      <c r="A138" t="inlineStr">
        <is>
          <t>NORTHBAY-FAB</t>
        </is>
      </c>
      <c r="B138" t="inlineStr">
        <is>
          <t>2026-09-27</t>
        </is>
      </c>
      <c r="C138" t="n">
        <v>6</v>
      </c>
      <c r="D138" t="n">
        <v>16</v>
      </c>
      <c r="E138" t="n">
        <v>7</v>
      </c>
      <c r="F138" t="n">
        <v>12960</v>
      </c>
      <c r="G138" t="n">
        <v>8505</v>
      </c>
      <c r="H138" t="n">
        <v>2938</v>
      </c>
      <c r="I138" t="n">
        <v>0</v>
      </c>
      <c r="J138" t="n">
        <v>11443</v>
      </c>
      <c r="K138" t="n">
        <v>0</v>
      </c>
      <c r="L138">
        <f>MIN(F138,J138)</f>
        <v/>
      </c>
      <c r="M138">
        <f>MIN(K138,MAX(0,F138-(J138-K138)))</f>
        <v/>
      </c>
    </row>
    <row r="139">
      <c r="A139" t="inlineStr">
        <is>
          <t>NORTHBAY-FAB</t>
        </is>
      </c>
      <c r="B139" t="inlineStr">
        <is>
          <t>2026-09-27</t>
        </is>
      </c>
      <c r="C139" t="n">
        <v>6</v>
      </c>
      <c r="D139" t="n">
        <v>17</v>
      </c>
      <c r="E139" t="n">
        <v>7</v>
      </c>
      <c r="F139" t="n">
        <v>12960</v>
      </c>
      <c r="G139" t="n">
        <v>2026</v>
      </c>
      <c r="H139" t="n">
        <v>2645</v>
      </c>
      <c r="I139" t="n">
        <v>0</v>
      </c>
      <c r="J139" t="n">
        <v>4671</v>
      </c>
      <c r="K139" t="n">
        <v>0</v>
      </c>
      <c r="L139">
        <f>MIN(F139,J139)</f>
        <v/>
      </c>
      <c r="M139">
        <f>MIN(K139,MAX(0,F139-(J139-K139)))</f>
        <v/>
      </c>
    </row>
    <row r="140">
      <c r="A140" t="inlineStr">
        <is>
          <t>NORTHBAY-FAB</t>
        </is>
      </c>
      <c r="B140" t="inlineStr">
        <is>
          <t>2026-09-27</t>
        </is>
      </c>
      <c r="C140" t="n">
        <v>6</v>
      </c>
      <c r="D140" t="n">
        <v>18</v>
      </c>
      <c r="E140" t="n">
        <v>7</v>
      </c>
      <c r="F140" t="n">
        <v>12960</v>
      </c>
      <c r="G140" t="n">
        <v>0</v>
      </c>
      <c r="H140" t="n">
        <v>2680</v>
      </c>
      <c r="I140" t="n">
        <v>0</v>
      </c>
      <c r="J140" t="n">
        <v>2680</v>
      </c>
      <c r="K140" t="n">
        <v>0</v>
      </c>
      <c r="L140">
        <f>MIN(F140,J140)</f>
        <v/>
      </c>
      <c r="M140">
        <f>MIN(K140,MAX(0,F140-(J140-K140)))</f>
        <v/>
      </c>
    </row>
    <row r="141">
      <c r="A141" t="inlineStr">
        <is>
          <t>NORTHBAY-FAB</t>
        </is>
      </c>
      <c r="B141" t="inlineStr">
        <is>
          <t>2026-09-27</t>
        </is>
      </c>
      <c r="C141" t="n">
        <v>6</v>
      </c>
      <c r="D141" t="n">
        <v>19</v>
      </c>
      <c r="E141" t="n">
        <v>7</v>
      </c>
      <c r="F141" t="n">
        <v>12960</v>
      </c>
      <c r="G141" t="n">
        <v>0</v>
      </c>
      <c r="H141" t="n">
        <v>3097</v>
      </c>
      <c r="I141" t="n">
        <v>0</v>
      </c>
      <c r="J141" t="n">
        <v>3097</v>
      </c>
      <c r="K141" t="n">
        <v>0</v>
      </c>
      <c r="L141">
        <f>MIN(F141,J141)</f>
        <v/>
      </c>
      <c r="M141">
        <f>MIN(K141,MAX(0,F141-(J141-K141)))</f>
        <v/>
      </c>
    </row>
    <row r="142">
      <c r="A142" t="inlineStr">
        <is>
          <t>NORTHBAY-FAB</t>
        </is>
      </c>
      <c r="B142" t="inlineStr">
        <is>
          <t>2026-09-27</t>
        </is>
      </c>
      <c r="C142" t="n">
        <v>6</v>
      </c>
      <c r="D142" t="n">
        <v>20</v>
      </c>
      <c r="E142" t="n">
        <v>7</v>
      </c>
      <c r="F142" t="n">
        <v>12960</v>
      </c>
      <c r="G142" t="n">
        <v>0</v>
      </c>
      <c r="H142" t="n">
        <v>4130</v>
      </c>
      <c r="I142" t="n">
        <v>0</v>
      </c>
      <c r="J142" t="n">
        <v>4130</v>
      </c>
      <c r="K142" t="n">
        <v>0</v>
      </c>
      <c r="L142">
        <f>MIN(F142,J142)</f>
        <v/>
      </c>
      <c r="M142">
        <f>MIN(K142,MAX(0,F142-(J142-K142)))</f>
        <v/>
      </c>
    </row>
    <row r="143">
      <c r="A143" t="inlineStr">
        <is>
          <t>NORTHBAY-FAB</t>
        </is>
      </c>
      <c r="B143" t="inlineStr">
        <is>
          <t>2026-09-27</t>
        </is>
      </c>
      <c r="C143" t="n">
        <v>6</v>
      </c>
      <c r="D143" t="n">
        <v>21</v>
      </c>
      <c r="E143" t="n">
        <v>7</v>
      </c>
      <c r="F143" t="n">
        <v>12960</v>
      </c>
      <c r="G143" t="n">
        <v>0</v>
      </c>
      <c r="H143" t="n">
        <v>3737</v>
      </c>
      <c r="I143" t="n">
        <v>0</v>
      </c>
      <c r="J143" t="n">
        <v>3737</v>
      </c>
      <c r="K143" t="n">
        <v>0</v>
      </c>
      <c r="L143">
        <f>MIN(F143,J143)</f>
        <v/>
      </c>
      <c r="M143">
        <f>MIN(K143,MAX(0,F143-(J143-K143)))</f>
        <v/>
      </c>
    </row>
    <row r="144">
      <c r="A144" t="inlineStr">
        <is>
          <t>NORTHBAY-FAB</t>
        </is>
      </c>
      <c r="B144" t="inlineStr">
        <is>
          <t>2026-09-27</t>
        </is>
      </c>
      <c r="C144" t="n">
        <v>6</v>
      </c>
      <c r="D144" t="n">
        <v>22</v>
      </c>
      <c r="E144" t="n">
        <v>7</v>
      </c>
      <c r="F144" t="n">
        <v>12960</v>
      </c>
      <c r="G144" t="n">
        <v>0</v>
      </c>
      <c r="H144" t="n">
        <v>3145</v>
      </c>
      <c r="I144" t="n">
        <v>0</v>
      </c>
      <c r="J144" t="n">
        <v>3145</v>
      </c>
      <c r="K144" t="n">
        <v>0</v>
      </c>
      <c r="L144">
        <f>MIN(F144,J144)</f>
        <v/>
      </c>
      <c r="M144">
        <f>MIN(K144,MAX(0,F144-(J144-K144)))</f>
        <v/>
      </c>
    </row>
    <row r="145">
      <c r="A145" t="inlineStr">
        <is>
          <t>NORTHBAY-FAB</t>
        </is>
      </c>
      <c r="B145" t="inlineStr">
        <is>
          <t>2026-09-27</t>
        </is>
      </c>
      <c r="C145" t="n">
        <v>6</v>
      </c>
      <c r="D145" t="n">
        <v>23</v>
      </c>
      <c r="E145" t="n">
        <v>7</v>
      </c>
      <c r="F145" t="n">
        <v>12960</v>
      </c>
      <c r="G145" t="n">
        <v>0</v>
      </c>
      <c r="H145" t="n">
        <v>3710</v>
      </c>
      <c r="I145" t="n">
        <v>0</v>
      </c>
      <c r="J145" t="n">
        <v>3710</v>
      </c>
      <c r="K145" t="n">
        <v>0</v>
      </c>
      <c r="L145">
        <f>MIN(F145,J145)</f>
        <v/>
      </c>
      <c r="M145">
        <f>MIN(K145,MAX(0,F145-(J145-K145)))</f>
        <v/>
      </c>
    </row>
    <row r="146">
      <c r="A146" t="inlineStr">
        <is>
          <t>NORTHBAY-FAB</t>
        </is>
      </c>
      <c r="B146" t="inlineStr">
        <is>
          <t>2026-09-28</t>
        </is>
      </c>
      <c r="C146" t="n">
        <v>7</v>
      </c>
      <c r="D146" t="n">
        <v>0</v>
      </c>
      <c r="E146" t="n">
        <v>1</v>
      </c>
      <c r="F146" t="n">
        <v>12960</v>
      </c>
      <c r="G146" t="n">
        <v>0</v>
      </c>
      <c r="H146" t="n">
        <v>3486</v>
      </c>
      <c r="I146" t="n">
        <v>0</v>
      </c>
      <c r="J146" t="n">
        <v>3486</v>
      </c>
      <c r="K146" t="n">
        <v>0</v>
      </c>
      <c r="L146">
        <f>MIN(F146,J146)</f>
        <v/>
      </c>
      <c r="M146">
        <f>MIN(K146,MAX(0,F146-(J146-K146)))</f>
        <v/>
      </c>
    </row>
    <row r="147">
      <c r="A147" t="inlineStr">
        <is>
          <t>NORTHBAY-FAB</t>
        </is>
      </c>
      <c r="B147" t="inlineStr">
        <is>
          <t>2026-09-28</t>
        </is>
      </c>
      <c r="C147" t="n">
        <v>7</v>
      </c>
      <c r="D147" t="n">
        <v>1</v>
      </c>
      <c r="E147" t="n">
        <v>1</v>
      </c>
      <c r="F147" t="n">
        <v>12960</v>
      </c>
      <c r="G147" t="n">
        <v>0</v>
      </c>
      <c r="H147" t="n">
        <v>4448</v>
      </c>
      <c r="I147" t="n">
        <v>0</v>
      </c>
      <c r="J147" t="n">
        <v>4448</v>
      </c>
      <c r="K147" t="n">
        <v>0</v>
      </c>
      <c r="L147">
        <f>MIN(F147,J147)</f>
        <v/>
      </c>
      <c r="M147">
        <f>MIN(K147,MAX(0,F147-(J147-K147)))</f>
        <v/>
      </c>
    </row>
    <row r="148">
      <c r="A148" t="inlineStr">
        <is>
          <t>NORTHBAY-FAB</t>
        </is>
      </c>
      <c r="B148" t="inlineStr">
        <is>
          <t>2026-09-28</t>
        </is>
      </c>
      <c r="C148" t="n">
        <v>7</v>
      </c>
      <c r="D148" t="n">
        <v>2</v>
      </c>
      <c r="E148" t="n">
        <v>1</v>
      </c>
      <c r="F148" t="n">
        <v>12960</v>
      </c>
      <c r="G148" t="n">
        <v>0</v>
      </c>
      <c r="H148" t="n">
        <v>5182</v>
      </c>
      <c r="I148" t="n">
        <v>0</v>
      </c>
      <c r="J148" t="n">
        <v>5182</v>
      </c>
      <c r="K148" t="n">
        <v>0</v>
      </c>
      <c r="L148">
        <f>MIN(F148,J148)</f>
        <v/>
      </c>
      <c r="M148">
        <f>MIN(K148,MAX(0,F148-(J148-K148)))</f>
        <v/>
      </c>
    </row>
    <row r="149">
      <c r="A149" t="inlineStr">
        <is>
          <t>NORTHBAY-FAB</t>
        </is>
      </c>
      <c r="B149" t="inlineStr">
        <is>
          <t>2026-09-28</t>
        </is>
      </c>
      <c r="C149" t="n">
        <v>7</v>
      </c>
      <c r="D149" t="n">
        <v>3</v>
      </c>
      <c r="E149" t="n">
        <v>1</v>
      </c>
      <c r="F149" t="n">
        <v>12960</v>
      </c>
      <c r="G149" t="n">
        <v>0</v>
      </c>
      <c r="H149" t="n">
        <v>5823</v>
      </c>
      <c r="I149" t="n">
        <v>0</v>
      </c>
      <c r="J149" t="n">
        <v>5823</v>
      </c>
      <c r="K149" t="n">
        <v>0</v>
      </c>
      <c r="L149">
        <f>MIN(F149,J149)</f>
        <v/>
      </c>
      <c r="M149">
        <f>MIN(K149,MAX(0,F149-(J149-K149)))</f>
        <v/>
      </c>
    </row>
    <row r="150">
      <c r="A150" t="inlineStr">
        <is>
          <t>NORTHBAY-FAB</t>
        </is>
      </c>
      <c r="B150" t="inlineStr">
        <is>
          <t>2026-09-28</t>
        </is>
      </c>
      <c r="C150" t="n">
        <v>7</v>
      </c>
      <c r="D150" t="n">
        <v>4</v>
      </c>
      <c r="E150" t="n">
        <v>1</v>
      </c>
      <c r="F150" t="n">
        <v>12960</v>
      </c>
      <c r="G150" t="n">
        <v>0</v>
      </c>
      <c r="H150" t="n">
        <v>7137</v>
      </c>
      <c r="I150" t="n">
        <v>0</v>
      </c>
      <c r="J150" t="n">
        <v>7137</v>
      </c>
      <c r="K150" t="n">
        <v>0</v>
      </c>
      <c r="L150">
        <f>MIN(F150,J150)</f>
        <v/>
      </c>
      <c r="M150">
        <f>MIN(K150,MAX(0,F150-(J150-K150)))</f>
        <v/>
      </c>
    </row>
    <row r="151">
      <c r="A151" t="inlineStr">
        <is>
          <t>NORTHBAY-FAB</t>
        </is>
      </c>
      <c r="B151" t="inlineStr">
        <is>
          <t>2026-09-28</t>
        </is>
      </c>
      <c r="C151" t="n">
        <v>7</v>
      </c>
      <c r="D151" t="n">
        <v>5</v>
      </c>
      <c r="E151" t="n">
        <v>1</v>
      </c>
      <c r="F151" t="n">
        <v>12960</v>
      </c>
      <c r="G151" t="n">
        <v>21</v>
      </c>
      <c r="H151" t="n">
        <v>5998</v>
      </c>
      <c r="I151" t="n">
        <v>0</v>
      </c>
      <c r="J151" t="n">
        <v>6019</v>
      </c>
      <c r="K151" t="n">
        <v>0</v>
      </c>
      <c r="L151">
        <f>MIN(F151,J151)</f>
        <v/>
      </c>
      <c r="M151">
        <f>MIN(K151,MAX(0,F151-(J151-K151)))</f>
        <v/>
      </c>
    </row>
    <row r="152">
      <c r="A152" t="inlineStr">
        <is>
          <t>NORTHBAY-FAB</t>
        </is>
      </c>
      <c r="B152" t="inlineStr">
        <is>
          <t>2026-09-28</t>
        </is>
      </c>
      <c r="C152" t="n">
        <v>7</v>
      </c>
      <c r="D152" t="n">
        <v>6</v>
      </c>
      <c r="E152" t="n">
        <v>1</v>
      </c>
      <c r="F152" t="n">
        <v>12960</v>
      </c>
      <c r="G152" t="n">
        <v>1059</v>
      </c>
      <c r="H152" t="n">
        <v>4339</v>
      </c>
      <c r="I152" t="n">
        <v>0</v>
      </c>
      <c r="J152" t="n">
        <v>5398</v>
      </c>
      <c r="K152" t="n">
        <v>0</v>
      </c>
      <c r="L152">
        <f>MIN(F152,J152)</f>
        <v/>
      </c>
      <c r="M152">
        <f>MIN(K152,MAX(0,F152-(J152-K152)))</f>
        <v/>
      </c>
    </row>
    <row r="153">
      <c r="A153" t="inlineStr">
        <is>
          <t>NORTHBAY-FAB</t>
        </is>
      </c>
      <c r="B153" t="inlineStr">
        <is>
          <t>2026-09-28</t>
        </is>
      </c>
      <c r="C153" t="n">
        <v>7</v>
      </c>
      <c r="D153" t="n">
        <v>7</v>
      </c>
      <c r="E153" t="n">
        <v>1</v>
      </c>
      <c r="F153" t="n">
        <v>12960</v>
      </c>
      <c r="G153" t="n">
        <v>7053</v>
      </c>
      <c r="H153" t="n">
        <v>3769</v>
      </c>
      <c r="I153" t="n">
        <v>0</v>
      </c>
      <c r="J153" t="n">
        <v>10822</v>
      </c>
      <c r="K153" t="n">
        <v>0</v>
      </c>
      <c r="L153">
        <f>MIN(F153,J153)</f>
        <v/>
      </c>
      <c r="M153">
        <f>MIN(K153,MAX(0,F153-(J153-K153)))</f>
        <v/>
      </c>
    </row>
    <row r="154">
      <c r="A154" t="inlineStr">
        <is>
          <t>NORTHBAY-FAB</t>
        </is>
      </c>
      <c r="B154" t="inlineStr">
        <is>
          <t>2026-09-28</t>
        </is>
      </c>
      <c r="C154" t="n">
        <v>7</v>
      </c>
      <c r="D154" t="n">
        <v>8</v>
      </c>
      <c r="E154" t="n">
        <v>1</v>
      </c>
      <c r="F154" t="n">
        <v>12960</v>
      </c>
      <c r="G154" t="n">
        <v>14326</v>
      </c>
      <c r="H154" t="n">
        <v>3738</v>
      </c>
      <c r="I154" t="n">
        <v>0</v>
      </c>
      <c r="J154" t="n">
        <v>18064</v>
      </c>
      <c r="K154" t="n">
        <v>0</v>
      </c>
      <c r="L154">
        <f>MIN(F154,J154)</f>
        <v/>
      </c>
      <c r="M154">
        <f>MIN(K154,MAX(0,F154-(J154-K154)))</f>
        <v/>
      </c>
    </row>
    <row r="155">
      <c r="A155" t="inlineStr">
        <is>
          <t>NORTHBAY-FAB</t>
        </is>
      </c>
      <c r="B155" t="inlineStr">
        <is>
          <t>2026-09-28</t>
        </is>
      </c>
      <c r="C155" t="n">
        <v>7</v>
      </c>
      <c r="D155" t="n">
        <v>9</v>
      </c>
      <c r="E155" t="n">
        <v>1</v>
      </c>
      <c r="F155" t="n">
        <v>12960</v>
      </c>
      <c r="G155" t="n">
        <v>17870</v>
      </c>
      <c r="H155" t="n">
        <v>3376</v>
      </c>
      <c r="I155" t="n">
        <v>0</v>
      </c>
      <c r="J155" t="n">
        <v>21246</v>
      </c>
      <c r="K155" t="n">
        <v>0</v>
      </c>
      <c r="L155">
        <f>MIN(F155,J155)</f>
        <v/>
      </c>
      <c r="M155">
        <f>MIN(K155,MAX(0,F155-(J155-K155)))</f>
        <v/>
      </c>
    </row>
    <row r="156">
      <c r="A156" t="inlineStr">
        <is>
          <t>NORTHBAY-FAB</t>
        </is>
      </c>
      <c r="B156" t="inlineStr">
        <is>
          <t>2026-09-28</t>
        </is>
      </c>
      <c r="C156" t="n">
        <v>7</v>
      </c>
      <c r="D156" t="n">
        <v>10</v>
      </c>
      <c r="E156" t="n">
        <v>1</v>
      </c>
      <c r="F156" t="n">
        <v>12960</v>
      </c>
      <c r="G156" t="n">
        <v>20791</v>
      </c>
      <c r="H156" t="n">
        <v>3654</v>
      </c>
      <c r="I156" t="n">
        <v>0</v>
      </c>
      <c r="J156" t="n">
        <v>24445</v>
      </c>
      <c r="K156" t="n">
        <v>0</v>
      </c>
      <c r="L156">
        <f>MIN(F156,J156)</f>
        <v/>
      </c>
      <c r="M156">
        <f>MIN(K156,MAX(0,F156-(J156-K156)))</f>
        <v/>
      </c>
    </row>
    <row r="157">
      <c r="A157" t="inlineStr">
        <is>
          <t>NORTHBAY-FAB</t>
        </is>
      </c>
      <c r="B157" t="inlineStr">
        <is>
          <t>2026-09-28</t>
        </is>
      </c>
      <c r="C157" t="n">
        <v>7</v>
      </c>
      <c r="D157" t="n">
        <v>11</v>
      </c>
      <c r="E157" t="n">
        <v>1</v>
      </c>
      <c r="F157" t="n">
        <v>12960</v>
      </c>
      <c r="G157" t="n">
        <v>23114</v>
      </c>
      <c r="H157" t="n">
        <v>4114</v>
      </c>
      <c r="I157" t="n">
        <v>0</v>
      </c>
      <c r="J157" t="n">
        <v>27228</v>
      </c>
      <c r="K157" t="n">
        <v>0</v>
      </c>
      <c r="L157">
        <f>MIN(F157,J157)</f>
        <v/>
      </c>
      <c r="M157">
        <f>MIN(K157,MAX(0,F157-(J157-K157)))</f>
        <v/>
      </c>
    </row>
    <row r="158">
      <c r="A158" t="inlineStr">
        <is>
          <t>NORTHBAY-FAB</t>
        </is>
      </c>
      <c r="B158" t="inlineStr">
        <is>
          <t>2026-09-28</t>
        </is>
      </c>
      <c r="C158" t="n">
        <v>7</v>
      </c>
      <c r="D158" t="n">
        <v>12</v>
      </c>
      <c r="E158" t="n">
        <v>1</v>
      </c>
      <c r="F158" t="n">
        <v>12960</v>
      </c>
      <c r="G158" t="n">
        <v>24169</v>
      </c>
      <c r="H158" t="n">
        <v>4683</v>
      </c>
      <c r="I158" t="n">
        <v>0</v>
      </c>
      <c r="J158" t="n">
        <v>28852</v>
      </c>
      <c r="K158" t="n">
        <v>0</v>
      </c>
      <c r="L158">
        <f>MIN(F158,J158)</f>
        <v/>
      </c>
      <c r="M158">
        <f>MIN(K158,MAX(0,F158-(J158-K158)))</f>
        <v/>
      </c>
    </row>
    <row r="159">
      <c r="A159" t="inlineStr">
        <is>
          <t>NORTHBAY-FAB</t>
        </is>
      </c>
      <c r="B159" t="inlineStr">
        <is>
          <t>2026-09-28</t>
        </is>
      </c>
      <c r="C159" t="n">
        <v>7</v>
      </c>
      <c r="D159" t="n">
        <v>13</v>
      </c>
      <c r="E159" t="n">
        <v>1</v>
      </c>
      <c r="F159" t="n">
        <v>12960</v>
      </c>
      <c r="G159" t="n">
        <v>23398</v>
      </c>
      <c r="H159" t="n">
        <v>4883</v>
      </c>
      <c r="I159" t="n">
        <v>0</v>
      </c>
      <c r="J159" t="n">
        <v>28281</v>
      </c>
      <c r="K159" t="n">
        <v>0</v>
      </c>
      <c r="L159">
        <f>MIN(F159,J159)</f>
        <v/>
      </c>
      <c r="M159">
        <f>MIN(K159,MAX(0,F159-(J159-K159)))</f>
        <v/>
      </c>
    </row>
    <row r="160">
      <c r="A160" t="inlineStr">
        <is>
          <t>NORTHBAY-FAB</t>
        </is>
      </c>
      <c r="B160" t="inlineStr">
        <is>
          <t>2026-09-28</t>
        </is>
      </c>
      <c r="C160" t="n">
        <v>7</v>
      </c>
      <c r="D160" t="n">
        <v>14</v>
      </c>
      <c r="E160" t="n">
        <v>1</v>
      </c>
      <c r="F160" t="n">
        <v>12960</v>
      </c>
      <c r="G160" t="n">
        <v>20844</v>
      </c>
      <c r="H160" t="n">
        <v>5994</v>
      </c>
      <c r="I160" t="n">
        <v>0</v>
      </c>
      <c r="J160" t="n">
        <v>26838</v>
      </c>
      <c r="K160" t="n">
        <v>0</v>
      </c>
      <c r="L160">
        <f>MIN(F160,J160)</f>
        <v/>
      </c>
      <c r="M160">
        <f>MIN(K160,MAX(0,F160-(J160-K160)))</f>
        <v/>
      </c>
    </row>
    <row r="161">
      <c r="A161" t="inlineStr">
        <is>
          <t>NORTHBAY-FAB</t>
        </is>
      </c>
      <c r="B161" t="inlineStr">
        <is>
          <t>2026-09-28</t>
        </is>
      </c>
      <c r="C161" t="n">
        <v>7</v>
      </c>
      <c r="D161" t="n">
        <v>15</v>
      </c>
      <c r="E161" t="n">
        <v>1</v>
      </c>
      <c r="F161" t="n">
        <v>12960</v>
      </c>
      <c r="G161" t="n">
        <v>15616</v>
      </c>
      <c r="H161" t="n">
        <v>5847</v>
      </c>
      <c r="I161" t="n">
        <v>0</v>
      </c>
      <c r="J161" t="n">
        <v>21463</v>
      </c>
      <c r="K161" t="n">
        <v>0</v>
      </c>
      <c r="L161">
        <f>MIN(F161,J161)</f>
        <v/>
      </c>
      <c r="M161">
        <f>MIN(K161,MAX(0,F161-(J161-K161)))</f>
        <v/>
      </c>
    </row>
    <row r="162">
      <c r="A162" t="inlineStr">
        <is>
          <t>NORTHBAY-FAB</t>
        </is>
      </c>
      <c r="B162" t="inlineStr">
        <is>
          <t>2026-09-28</t>
        </is>
      </c>
      <c r="C162" t="n">
        <v>7</v>
      </c>
      <c r="D162" t="n">
        <v>16</v>
      </c>
      <c r="E162" t="n">
        <v>1</v>
      </c>
      <c r="F162" t="n">
        <v>12960</v>
      </c>
      <c r="G162" t="n">
        <v>8584</v>
      </c>
      <c r="H162" t="n">
        <v>4570</v>
      </c>
      <c r="I162" t="n">
        <v>0</v>
      </c>
      <c r="J162" t="n">
        <v>13154</v>
      </c>
      <c r="K162" t="n">
        <v>0</v>
      </c>
      <c r="L162">
        <f>MIN(F162,J162)</f>
        <v/>
      </c>
      <c r="M162">
        <f>MIN(K162,MAX(0,F162-(J162-K162)))</f>
        <v/>
      </c>
    </row>
    <row r="163">
      <c r="A163" t="inlineStr">
        <is>
          <t>NORTHBAY-FAB</t>
        </is>
      </c>
      <c r="B163" t="inlineStr">
        <is>
          <t>2026-09-28</t>
        </is>
      </c>
      <c r="C163" t="n">
        <v>7</v>
      </c>
      <c r="D163" t="n">
        <v>17</v>
      </c>
      <c r="E163" t="n">
        <v>1</v>
      </c>
      <c r="F163" t="n">
        <v>12960</v>
      </c>
      <c r="G163" t="n">
        <v>1716</v>
      </c>
      <c r="H163" t="n">
        <v>3898</v>
      </c>
      <c r="I163" t="n">
        <v>0</v>
      </c>
      <c r="J163" t="n">
        <v>5614</v>
      </c>
      <c r="K163" t="n">
        <v>0</v>
      </c>
      <c r="L163">
        <f>MIN(F163,J163)</f>
        <v/>
      </c>
      <c r="M163">
        <f>MIN(K163,MAX(0,F163-(J163-K163)))</f>
        <v/>
      </c>
    </row>
    <row r="164">
      <c r="A164" t="inlineStr">
        <is>
          <t>NORTHBAY-FAB</t>
        </is>
      </c>
      <c r="B164" t="inlineStr">
        <is>
          <t>2026-09-28</t>
        </is>
      </c>
      <c r="C164" t="n">
        <v>7</v>
      </c>
      <c r="D164" t="n">
        <v>18</v>
      </c>
      <c r="E164" t="n">
        <v>1</v>
      </c>
      <c r="F164" t="n">
        <v>12960</v>
      </c>
      <c r="G164" t="n">
        <v>0</v>
      </c>
      <c r="H164" t="n">
        <v>2985</v>
      </c>
      <c r="I164" t="n">
        <v>0</v>
      </c>
      <c r="J164" t="n">
        <v>2985</v>
      </c>
      <c r="K164" t="n">
        <v>0</v>
      </c>
      <c r="L164">
        <f>MIN(F164,J164)</f>
        <v/>
      </c>
      <c r="M164">
        <f>MIN(K164,MAX(0,F164-(J164-K164)))</f>
        <v/>
      </c>
    </row>
    <row r="165">
      <c r="A165" t="inlineStr">
        <is>
          <t>NORTHBAY-FAB</t>
        </is>
      </c>
      <c r="B165" t="inlineStr">
        <is>
          <t>2026-09-28</t>
        </is>
      </c>
      <c r="C165" t="n">
        <v>7</v>
      </c>
      <c r="D165" t="n">
        <v>19</v>
      </c>
      <c r="E165" t="n">
        <v>1</v>
      </c>
      <c r="F165" t="n">
        <v>12960</v>
      </c>
      <c r="G165" t="n">
        <v>0</v>
      </c>
      <c r="H165" t="n">
        <v>2507</v>
      </c>
      <c r="I165" t="n">
        <v>0</v>
      </c>
      <c r="J165" t="n">
        <v>2507</v>
      </c>
      <c r="K165" t="n">
        <v>0</v>
      </c>
      <c r="L165">
        <f>MIN(F165,J165)</f>
        <v/>
      </c>
      <c r="M165">
        <f>MIN(K165,MAX(0,F165-(J165-K165)))</f>
        <v/>
      </c>
    </row>
    <row r="166">
      <c r="A166" t="inlineStr">
        <is>
          <t>NORTHBAY-FAB</t>
        </is>
      </c>
      <c r="B166" t="inlineStr">
        <is>
          <t>2026-09-28</t>
        </is>
      </c>
      <c r="C166" t="n">
        <v>7</v>
      </c>
      <c r="D166" t="n">
        <v>20</v>
      </c>
      <c r="E166" t="n">
        <v>1</v>
      </c>
      <c r="F166" t="n">
        <v>12960</v>
      </c>
      <c r="G166" t="n">
        <v>0</v>
      </c>
      <c r="H166" t="n">
        <v>2289</v>
      </c>
      <c r="I166" t="n">
        <v>0</v>
      </c>
      <c r="J166" t="n">
        <v>2289</v>
      </c>
      <c r="K166" t="n">
        <v>0</v>
      </c>
      <c r="L166">
        <f>MIN(F166,J166)</f>
        <v/>
      </c>
      <c r="M166">
        <f>MIN(K166,MAX(0,F166-(J166-K166)))</f>
        <v/>
      </c>
    </row>
    <row r="167">
      <c r="A167" t="inlineStr">
        <is>
          <t>NORTHBAY-FAB</t>
        </is>
      </c>
      <c r="B167" t="inlineStr">
        <is>
          <t>2026-09-28</t>
        </is>
      </c>
      <c r="C167" t="n">
        <v>7</v>
      </c>
      <c r="D167" t="n">
        <v>21</v>
      </c>
      <c r="E167" t="n">
        <v>1</v>
      </c>
      <c r="F167" t="n">
        <v>12960</v>
      </c>
      <c r="G167" t="n">
        <v>0</v>
      </c>
      <c r="H167" t="n">
        <v>2696</v>
      </c>
      <c r="I167" t="n">
        <v>0</v>
      </c>
      <c r="J167" t="n">
        <v>2696</v>
      </c>
      <c r="K167" t="n">
        <v>0</v>
      </c>
      <c r="L167">
        <f>MIN(F167,J167)</f>
        <v/>
      </c>
      <c r="M167">
        <f>MIN(K167,MAX(0,F167-(J167-K167)))</f>
        <v/>
      </c>
    </row>
    <row r="168">
      <c r="A168" t="inlineStr">
        <is>
          <t>NORTHBAY-FAB</t>
        </is>
      </c>
      <c r="B168" t="inlineStr">
        <is>
          <t>2026-09-28</t>
        </is>
      </c>
      <c r="C168" t="n">
        <v>7</v>
      </c>
      <c r="D168" t="n">
        <v>22</v>
      </c>
      <c r="E168" t="n">
        <v>1</v>
      </c>
      <c r="F168" t="n">
        <v>12960</v>
      </c>
      <c r="G168" t="n">
        <v>0</v>
      </c>
      <c r="H168" t="n">
        <v>2880</v>
      </c>
      <c r="I168" t="n">
        <v>0</v>
      </c>
      <c r="J168" t="n">
        <v>2880</v>
      </c>
      <c r="K168" t="n">
        <v>0</v>
      </c>
      <c r="L168">
        <f>MIN(F168,J168)</f>
        <v/>
      </c>
      <c r="M168">
        <f>MIN(K168,MAX(0,F168-(J168-K168)))</f>
        <v/>
      </c>
    </row>
    <row r="169">
      <c r="A169" t="inlineStr">
        <is>
          <t>NORTHBAY-FAB</t>
        </is>
      </c>
      <c r="B169" t="inlineStr">
        <is>
          <t>2026-09-28</t>
        </is>
      </c>
      <c r="C169" t="n">
        <v>7</v>
      </c>
      <c r="D169" t="n">
        <v>23</v>
      </c>
      <c r="E169" t="n">
        <v>1</v>
      </c>
      <c r="F169" t="n">
        <v>12960</v>
      </c>
      <c r="G169" t="n">
        <v>0</v>
      </c>
      <c r="H169" t="n">
        <v>2471</v>
      </c>
      <c r="I169" t="n">
        <v>0</v>
      </c>
      <c r="J169" t="n">
        <v>2471</v>
      </c>
      <c r="K169" t="n">
        <v>0</v>
      </c>
      <c r="L169">
        <f>MIN(F169,J169)</f>
        <v/>
      </c>
      <c r="M169">
        <f>MIN(K169,MAX(0,F169-(J169-K169)))</f>
        <v/>
      </c>
    </row>
    <row r="170">
      <c r="A170" t="inlineStr">
        <is>
          <t>HARBOR-OFFICE</t>
        </is>
      </c>
      <c r="B170" t="inlineStr">
        <is>
          <t>2026-09-22</t>
        </is>
      </c>
      <c r="C170" t="n">
        <v>1</v>
      </c>
      <c r="D170" t="n">
        <v>0</v>
      </c>
      <c r="E170" t="n">
        <v>2</v>
      </c>
      <c r="F170" t="n">
        <v>1043</v>
      </c>
      <c r="G170" t="n">
        <v>0</v>
      </c>
      <c r="H170" t="n">
        <v>0</v>
      </c>
      <c r="I170" t="n">
        <v>1653</v>
      </c>
      <c r="J170" t="n">
        <v>1653</v>
      </c>
      <c r="K170" t="n">
        <v>1653</v>
      </c>
      <c r="L170">
        <f>MIN(F170,J170)</f>
        <v/>
      </c>
      <c r="M170">
        <f>MIN(K170,MAX(0,F170-(J170-K170)))</f>
        <v/>
      </c>
    </row>
    <row r="171">
      <c r="A171" t="inlineStr">
        <is>
          <t>HARBOR-OFFICE</t>
        </is>
      </c>
      <c r="B171" t="inlineStr">
        <is>
          <t>2026-09-22</t>
        </is>
      </c>
      <c r="C171" t="n">
        <v>1</v>
      </c>
      <c r="D171" t="n">
        <v>1</v>
      </c>
      <c r="E171" t="n">
        <v>2</v>
      </c>
      <c r="F171" t="n">
        <v>1043</v>
      </c>
      <c r="G171" t="n">
        <v>0</v>
      </c>
      <c r="H171" t="n">
        <v>0</v>
      </c>
      <c r="I171" t="n">
        <v>1506</v>
      </c>
      <c r="J171" t="n">
        <v>1506</v>
      </c>
      <c r="K171" t="n">
        <v>1506</v>
      </c>
      <c r="L171">
        <f>MIN(F171,J171)</f>
        <v/>
      </c>
      <c r="M171">
        <f>MIN(K171,MAX(0,F171-(J171-K171)))</f>
        <v/>
      </c>
    </row>
    <row r="172">
      <c r="A172" t="inlineStr">
        <is>
          <t>HARBOR-OFFICE</t>
        </is>
      </c>
      <c r="B172" t="inlineStr">
        <is>
          <t>2026-09-22</t>
        </is>
      </c>
      <c r="C172" t="n">
        <v>1</v>
      </c>
      <c r="D172" t="n">
        <v>2</v>
      </c>
      <c r="E172" t="n">
        <v>2</v>
      </c>
      <c r="F172" t="n">
        <v>1043</v>
      </c>
      <c r="G172" t="n">
        <v>0</v>
      </c>
      <c r="H172" t="n">
        <v>0</v>
      </c>
      <c r="I172" t="n">
        <v>1526</v>
      </c>
      <c r="J172" t="n">
        <v>1526</v>
      </c>
      <c r="K172" t="n">
        <v>1526</v>
      </c>
      <c r="L172">
        <f>MIN(F172,J172)</f>
        <v/>
      </c>
      <c r="M172">
        <f>MIN(K172,MAX(0,F172-(J172-K172)))</f>
        <v/>
      </c>
    </row>
    <row r="173">
      <c r="A173" t="inlineStr">
        <is>
          <t>HARBOR-OFFICE</t>
        </is>
      </c>
      <c r="B173" t="inlineStr">
        <is>
          <t>2026-09-22</t>
        </is>
      </c>
      <c r="C173" t="n">
        <v>1</v>
      </c>
      <c r="D173" t="n">
        <v>3</v>
      </c>
      <c r="E173" t="n">
        <v>2</v>
      </c>
      <c r="F173" t="n">
        <v>1043</v>
      </c>
      <c r="G173" t="n">
        <v>0</v>
      </c>
      <c r="H173" t="n">
        <v>0</v>
      </c>
      <c r="I173" t="n">
        <v>1524</v>
      </c>
      <c r="J173" t="n">
        <v>1524</v>
      </c>
      <c r="K173" t="n">
        <v>1524</v>
      </c>
      <c r="L173">
        <f>MIN(F173,J173)</f>
        <v/>
      </c>
      <c r="M173">
        <f>MIN(K173,MAX(0,F173-(J173-K173)))</f>
        <v/>
      </c>
    </row>
    <row r="174">
      <c r="A174" t="inlineStr">
        <is>
          <t>HARBOR-OFFICE</t>
        </is>
      </c>
      <c r="B174" t="inlineStr">
        <is>
          <t>2026-09-22</t>
        </is>
      </c>
      <c r="C174" t="n">
        <v>1</v>
      </c>
      <c r="D174" t="n">
        <v>4</v>
      </c>
      <c r="E174" t="n">
        <v>2</v>
      </c>
      <c r="F174" t="n">
        <v>1043</v>
      </c>
      <c r="G174" t="n">
        <v>0</v>
      </c>
      <c r="H174" t="n">
        <v>0</v>
      </c>
      <c r="I174" t="n">
        <v>1304</v>
      </c>
      <c r="J174" t="n">
        <v>1304</v>
      </c>
      <c r="K174" t="n">
        <v>1304</v>
      </c>
      <c r="L174">
        <f>MIN(F174,J174)</f>
        <v/>
      </c>
      <c r="M174">
        <f>MIN(K174,MAX(0,F174-(J174-K174)))</f>
        <v/>
      </c>
    </row>
    <row r="175">
      <c r="A175" t="inlineStr">
        <is>
          <t>HARBOR-OFFICE</t>
        </is>
      </c>
      <c r="B175" t="inlineStr">
        <is>
          <t>2026-09-22</t>
        </is>
      </c>
      <c r="C175" t="n">
        <v>1</v>
      </c>
      <c r="D175" t="n">
        <v>5</v>
      </c>
      <c r="E175" t="n">
        <v>2</v>
      </c>
      <c r="F175" t="n">
        <v>1043</v>
      </c>
      <c r="G175" t="n">
        <v>4</v>
      </c>
      <c r="H175" t="n">
        <v>0</v>
      </c>
      <c r="I175" t="n">
        <v>1243</v>
      </c>
      <c r="J175" t="n">
        <v>1247</v>
      </c>
      <c r="K175" t="n">
        <v>1243</v>
      </c>
      <c r="L175">
        <f>MIN(F175,J175)</f>
        <v/>
      </c>
      <c r="M175">
        <f>MIN(K175,MAX(0,F175-(J175-K175)))</f>
        <v/>
      </c>
    </row>
    <row r="176">
      <c r="A176" t="inlineStr">
        <is>
          <t>HARBOR-OFFICE</t>
        </is>
      </c>
      <c r="B176" t="inlineStr">
        <is>
          <t>2026-09-22</t>
        </is>
      </c>
      <c r="C176" t="n">
        <v>1</v>
      </c>
      <c r="D176" t="n">
        <v>6</v>
      </c>
      <c r="E176" t="n">
        <v>2</v>
      </c>
      <c r="F176" t="n">
        <v>1043</v>
      </c>
      <c r="G176" t="n">
        <v>155</v>
      </c>
      <c r="H176" t="n">
        <v>0</v>
      </c>
      <c r="I176" t="n">
        <v>1149</v>
      </c>
      <c r="J176" t="n">
        <v>1304</v>
      </c>
      <c r="K176" t="n">
        <v>1149</v>
      </c>
      <c r="L176">
        <f>MIN(F176,J176)</f>
        <v/>
      </c>
      <c r="M176">
        <f>MIN(K176,MAX(0,F176-(J176-K176)))</f>
        <v/>
      </c>
    </row>
    <row r="177">
      <c r="A177" t="inlineStr">
        <is>
          <t>HARBOR-OFFICE</t>
        </is>
      </c>
      <c r="B177" t="inlineStr">
        <is>
          <t>2026-09-22</t>
        </is>
      </c>
      <c r="C177" t="n">
        <v>1</v>
      </c>
      <c r="D177" t="n">
        <v>7</v>
      </c>
      <c r="E177" t="n">
        <v>2</v>
      </c>
      <c r="F177" t="n">
        <v>1043</v>
      </c>
      <c r="G177" t="n">
        <v>1041</v>
      </c>
      <c r="H177" t="n">
        <v>0</v>
      </c>
      <c r="I177" t="n">
        <v>998</v>
      </c>
      <c r="J177" t="n">
        <v>2039</v>
      </c>
      <c r="K177" t="n">
        <v>998</v>
      </c>
      <c r="L177">
        <f>MIN(F177,J177)</f>
        <v/>
      </c>
      <c r="M177">
        <f>MIN(K177,MAX(0,F177-(J177-K177)))</f>
        <v/>
      </c>
    </row>
    <row r="178">
      <c r="A178" t="inlineStr">
        <is>
          <t>HARBOR-OFFICE</t>
        </is>
      </c>
      <c r="B178" t="inlineStr">
        <is>
          <t>2026-09-22</t>
        </is>
      </c>
      <c r="C178" t="n">
        <v>1</v>
      </c>
      <c r="D178" t="n">
        <v>8</v>
      </c>
      <c r="E178" t="n">
        <v>2</v>
      </c>
      <c r="F178" t="n">
        <v>5217</v>
      </c>
      <c r="G178" t="n">
        <v>2108</v>
      </c>
      <c r="H178" t="n">
        <v>0</v>
      </c>
      <c r="I178" t="n">
        <v>1000</v>
      </c>
      <c r="J178" t="n">
        <v>3108</v>
      </c>
      <c r="K178" t="n">
        <v>1000</v>
      </c>
      <c r="L178">
        <f>MIN(F178,J178)</f>
        <v/>
      </c>
      <c r="M178">
        <f>MIN(K178,MAX(0,F178-(J178-K178)))</f>
        <v/>
      </c>
    </row>
    <row r="179">
      <c r="A179" t="inlineStr">
        <is>
          <t>HARBOR-OFFICE</t>
        </is>
      </c>
      <c r="B179" t="inlineStr">
        <is>
          <t>2026-09-22</t>
        </is>
      </c>
      <c r="C179" t="n">
        <v>1</v>
      </c>
      <c r="D179" t="n">
        <v>9</v>
      </c>
      <c r="E179" t="n">
        <v>2</v>
      </c>
      <c r="F179" t="n">
        <v>5217</v>
      </c>
      <c r="G179" t="n">
        <v>3011</v>
      </c>
      <c r="H179" t="n">
        <v>0</v>
      </c>
      <c r="I179" t="n">
        <v>952</v>
      </c>
      <c r="J179" t="n">
        <v>3963</v>
      </c>
      <c r="K179" t="n">
        <v>952</v>
      </c>
      <c r="L179">
        <f>MIN(F179,J179)</f>
        <v/>
      </c>
      <c r="M179">
        <f>MIN(K179,MAX(0,F179-(J179-K179)))</f>
        <v/>
      </c>
    </row>
    <row r="180">
      <c r="A180" t="inlineStr">
        <is>
          <t>HARBOR-OFFICE</t>
        </is>
      </c>
      <c r="B180" t="inlineStr">
        <is>
          <t>2026-09-22</t>
        </is>
      </c>
      <c r="C180" t="n">
        <v>1</v>
      </c>
      <c r="D180" t="n">
        <v>10</v>
      </c>
      <c r="E180" t="n">
        <v>2</v>
      </c>
      <c r="F180" t="n">
        <v>5217</v>
      </c>
      <c r="G180" t="n">
        <v>3533</v>
      </c>
      <c r="H180" t="n">
        <v>0</v>
      </c>
      <c r="I180" t="n">
        <v>951</v>
      </c>
      <c r="J180" t="n">
        <v>4484</v>
      </c>
      <c r="K180" t="n">
        <v>951</v>
      </c>
      <c r="L180">
        <f>MIN(F180,J180)</f>
        <v/>
      </c>
      <c r="M180">
        <f>MIN(K180,MAX(0,F180-(J180-K180)))</f>
        <v/>
      </c>
    </row>
    <row r="181">
      <c r="A181" t="inlineStr">
        <is>
          <t>HARBOR-OFFICE</t>
        </is>
      </c>
      <c r="B181" t="inlineStr">
        <is>
          <t>2026-09-22</t>
        </is>
      </c>
      <c r="C181" t="n">
        <v>1</v>
      </c>
      <c r="D181" t="n">
        <v>11</v>
      </c>
      <c r="E181" t="n">
        <v>2</v>
      </c>
      <c r="F181" t="n">
        <v>5217</v>
      </c>
      <c r="G181" t="n">
        <v>3858</v>
      </c>
      <c r="H181" t="n">
        <v>0</v>
      </c>
      <c r="I181" t="n">
        <v>1133</v>
      </c>
      <c r="J181" t="n">
        <v>4991</v>
      </c>
      <c r="K181" t="n">
        <v>1133</v>
      </c>
      <c r="L181">
        <f>MIN(F181,J181)</f>
        <v/>
      </c>
      <c r="M181">
        <f>MIN(K181,MAX(0,F181-(J181-K181)))</f>
        <v/>
      </c>
    </row>
    <row r="182">
      <c r="A182" t="inlineStr">
        <is>
          <t>HARBOR-OFFICE</t>
        </is>
      </c>
      <c r="B182" t="inlineStr">
        <is>
          <t>2026-09-22</t>
        </is>
      </c>
      <c r="C182" t="n">
        <v>1</v>
      </c>
      <c r="D182" t="n">
        <v>12</v>
      </c>
      <c r="E182" t="n">
        <v>2</v>
      </c>
      <c r="F182" t="n">
        <v>5217</v>
      </c>
      <c r="G182" t="n">
        <v>3924</v>
      </c>
      <c r="H182" t="n">
        <v>0</v>
      </c>
      <c r="I182" t="n">
        <v>1099</v>
      </c>
      <c r="J182" t="n">
        <v>5023</v>
      </c>
      <c r="K182" t="n">
        <v>1099</v>
      </c>
      <c r="L182">
        <f>MIN(F182,J182)</f>
        <v/>
      </c>
      <c r="M182">
        <f>MIN(K182,MAX(0,F182-(J182-K182)))</f>
        <v/>
      </c>
    </row>
    <row r="183">
      <c r="A183" t="inlineStr">
        <is>
          <t>HARBOR-OFFICE</t>
        </is>
      </c>
      <c r="B183" t="inlineStr">
        <is>
          <t>2026-09-22</t>
        </is>
      </c>
      <c r="C183" t="n">
        <v>1</v>
      </c>
      <c r="D183" t="n">
        <v>13</v>
      </c>
      <c r="E183" t="n">
        <v>2</v>
      </c>
      <c r="F183" t="n">
        <v>5217</v>
      </c>
      <c r="G183" t="n">
        <v>3579</v>
      </c>
      <c r="H183" t="n">
        <v>0</v>
      </c>
      <c r="I183" t="n">
        <v>1117</v>
      </c>
      <c r="J183" t="n">
        <v>4696</v>
      </c>
      <c r="K183" t="n">
        <v>1117</v>
      </c>
      <c r="L183">
        <f>MIN(F183,J183)</f>
        <v/>
      </c>
      <c r="M183">
        <f>MIN(K183,MAX(0,F183-(J183-K183)))</f>
        <v/>
      </c>
    </row>
    <row r="184">
      <c r="A184" t="inlineStr">
        <is>
          <t>HARBOR-OFFICE</t>
        </is>
      </c>
      <c r="B184" t="inlineStr">
        <is>
          <t>2026-09-22</t>
        </is>
      </c>
      <c r="C184" t="n">
        <v>1</v>
      </c>
      <c r="D184" t="n">
        <v>14</v>
      </c>
      <c r="E184" t="n">
        <v>2</v>
      </c>
      <c r="F184" t="n">
        <v>5217</v>
      </c>
      <c r="G184" t="n">
        <v>3083</v>
      </c>
      <c r="H184" t="n">
        <v>0</v>
      </c>
      <c r="I184" t="n">
        <v>1196</v>
      </c>
      <c r="J184" t="n">
        <v>4279</v>
      </c>
      <c r="K184" t="n">
        <v>1196</v>
      </c>
      <c r="L184">
        <f>MIN(F184,J184)</f>
        <v/>
      </c>
      <c r="M184">
        <f>MIN(K184,MAX(0,F184-(J184-K184)))</f>
        <v/>
      </c>
    </row>
    <row r="185">
      <c r="A185" t="inlineStr">
        <is>
          <t>HARBOR-OFFICE</t>
        </is>
      </c>
      <c r="B185" t="inlineStr">
        <is>
          <t>2026-09-22</t>
        </is>
      </c>
      <c r="C185" t="n">
        <v>1</v>
      </c>
      <c r="D185" t="n">
        <v>15</v>
      </c>
      <c r="E185" t="n">
        <v>2</v>
      </c>
      <c r="F185" t="n">
        <v>5217</v>
      </c>
      <c r="G185" t="n">
        <v>2263</v>
      </c>
      <c r="H185" t="n">
        <v>0</v>
      </c>
      <c r="I185" t="n">
        <v>1242</v>
      </c>
      <c r="J185" t="n">
        <v>3505</v>
      </c>
      <c r="K185" t="n">
        <v>1242</v>
      </c>
      <c r="L185">
        <f>MIN(F185,J185)</f>
        <v/>
      </c>
      <c r="M185">
        <f>MIN(K185,MAX(0,F185-(J185-K185)))</f>
        <v/>
      </c>
    </row>
    <row r="186">
      <c r="A186" t="inlineStr">
        <is>
          <t>HARBOR-OFFICE</t>
        </is>
      </c>
      <c r="B186" t="inlineStr">
        <is>
          <t>2026-09-22</t>
        </is>
      </c>
      <c r="C186" t="n">
        <v>1</v>
      </c>
      <c r="D186" t="n">
        <v>16</v>
      </c>
      <c r="E186" t="n">
        <v>2</v>
      </c>
      <c r="F186" t="n">
        <v>5217</v>
      </c>
      <c r="G186" t="n">
        <v>1210</v>
      </c>
      <c r="H186" t="n">
        <v>0</v>
      </c>
      <c r="I186" t="n">
        <v>1502</v>
      </c>
      <c r="J186" t="n">
        <v>2712</v>
      </c>
      <c r="K186" t="n">
        <v>1502</v>
      </c>
      <c r="L186">
        <f>MIN(F186,J186)</f>
        <v/>
      </c>
      <c r="M186">
        <f>MIN(K186,MAX(0,F186-(J186-K186)))</f>
        <v/>
      </c>
    </row>
    <row r="187">
      <c r="A187" t="inlineStr">
        <is>
          <t>HARBOR-OFFICE</t>
        </is>
      </c>
      <c r="B187" t="inlineStr">
        <is>
          <t>2026-09-22</t>
        </is>
      </c>
      <c r="C187" t="n">
        <v>1</v>
      </c>
      <c r="D187" t="n">
        <v>17</v>
      </c>
      <c r="E187" t="n">
        <v>2</v>
      </c>
      <c r="F187" t="n">
        <v>5217</v>
      </c>
      <c r="G187" t="n">
        <v>314</v>
      </c>
      <c r="H187" t="n">
        <v>0</v>
      </c>
      <c r="I187" t="n">
        <v>2125</v>
      </c>
      <c r="J187" t="n">
        <v>2439</v>
      </c>
      <c r="K187" t="n">
        <v>2125</v>
      </c>
      <c r="L187">
        <f>MIN(F187,J187)</f>
        <v/>
      </c>
      <c r="M187">
        <f>MIN(K187,MAX(0,F187-(J187-K187)))</f>
        <v/>
      </c>
    </row>
    <row r="188">
      <c r="A188" t="inlineStr">
        <is>
          <t>HARBOR-OFFICE</t>
        </is>
      </c>
      <c r="B188" t="inlineStr">
        <is>
          <t>2026-09-22</t>
        </is>
      </c>
      <c r="C188" t="n">
        <v>1</v>
      </c>
      <c r="D188" t="n">
        <v>18</v>
      </c>
      <c r="E188" t="n">
        <v>2</v>
      </c>
      <c r="F188" t="n">
        <v>5217</v>
      </c>
      <c r="G188" t="n">
        <v>0</v>
      </c>
      <c r="H188" t="n">
        <v>0</v>
      </c>
      <c r="I188" t="n">
        <v>2354</v>
      </c>
      <c r="J188" t="n">
        <v>2354</v>
      </c>
      <c r="K188" t="n">
        <v>2354</v>
      </c>
      <c r="L188">
        <f>MIN(F188,J188)</f>
        <v/>
      </c>
      <c r="M188">
        <f>MIN(K188,MAX(0,F188-(J188-K188)))</f>
        <v/>
      </c>
    </row>
    <row r="189">
      <c r="A189" t="inlineStr">
        <is>
          <t>HARBOR-OFFICE</t>
        </is>
      </c>
      <c r="B189" t="inlineStr">
        <is>
          <t>2026-09-22</t>
        </is>
      </c>
      <c r="C189" t="n">
        <v>1</v>
      </c>
      <c r="D189" t="n">
        <v>19</v>
      </c>
      <c r="E189" t="n">
        <v>2</v>
      </c>
      <c r="F189" t="n">
        <v>1043</v>
      </c>
      <c r="G189" t="n">
        <v>0</v>
      </c>
      <c r="H189" t="n">
        <v>0</v>
      </c>
      <c r="I189" t="n">
        <v>2463</v>
      </c>
      <c r="J189" t="n">
        <v>2463</v>
      </c>
      <c r="K189" t="n">
        <v>2463</v>
      </c>
      <c r="L189">
        <f>MIN(F189,J189)</f>
        <v/>
      </c>
      <c r="M189">
        <f>MIN(K189,MAX(0,F189-(J189-K189)))</f>
        <v/>
      </c>
    </row>
    <row r="190">
      <c r="A190" t="inlineStr">
        <is>
          <t>HARBOR-OFFICE</t>
        </is>
      </c>
      <c r="B190" t="inlineStr">
        <is>
          <t>2026-09-22</t>
        </is>
      </c>
      <c r="C190" t="n">
        <v>1</v>
      </c>
      <c r="D190" t="n">
        <v>20</v>
      </c>
      <c r="E190" t="n">
        <v>2</v>
      </c>
      <c r="F190" t="n">
        <v>1043</v>
      </c>
      <c r="G190" t="n">
        <v>0</v>
      </c>
      <c r="H190" t="n">
        <v>0</v>
      </c>
      <c r="I190" t="n">
        <v>2932</v>
      </c>
      <c r="J190" t="n">
        <v>2932</v>
      </c>
      <c r="K190" t="n">
        <v>2932</v>
      </c>
      <c r="L190">
        <f>MIN(F190,J190)</f>
        <v/>
      </c>
      <c r="M190">
        <f>MIN(K190,MAX(0,F190-(J190-K190)))</f>
        <v/>
      </c>
    </row>
    <row r="191">
      <c r="A191" t="inlineStr">
        <is>
          <t>HARBOR-OFFICE</t>
        </is>
      </c>
      <c r="B191" t="inlineStr">
        <is>
          <t>2026-09-22</t>
        </is>
      </c>
      <c r="C191" t="n">
        <v>1</v>
      </c>
      <c r="D191" t="n">
        <v>21</v>
      </c>
      <c r="E191" t="n">
        <v>2</v>
      </c>
      <c r="F191" t="n">
        <v>1043</v>
      </c>
      <c r="G191" t="n">
        <v>0</v>
      </c>
      <c r="H191" t="n">
        <v>0</v>
      </c>
      <c r="I191" t="n">
        <v>3000</v>
      </c>
      <c r="J191" t="n">
        <v>3000</v>
      </c>
      <c r="K191" t="n">
        <v>3000</v>
      </c>
      <c r="L191">
        <f>MIN(F191,J191)</f>
        <v/>
      </c>
      <c r="M191">
        <f>MIN(K191,MAX(0,F191-(J191-K191)))</f>
        <v/>
      </c>
    </row>
    <row r="192">
      <c r="A192" t="inlineStr">
        <is>
          <t>HARBOR-OFFICE</t>
        </is>
      </c>
      <c r="B192" t="inlineStr">
        <is>
          <t>2026-09-22</t>
        </is>
      </c>
      <c r="C192" t="n">
        <v>1</v>
      </c>
      <c r="D192" t="n">
        <v>22</v>
      </c>
      <c r="E192" t="n">
        <v>2</v>
      </c>
      <c r="F192" t="n">
        <v>1043</v>
      </c>
      <c r="G192" t="n">
        <v>0</v>
      </c>
      <c r="H192" t="n">
        <v>0</v>
      </c>
      <c r="I192" t="n">
        <v>2784</v>
      </c>
      <c r="J192" t="n">
        <v>2784</v>
      </c>
      <c r="K192" t="n">
        <v>2784</v>
      </c>
      <c r="L192">
        <f>MIN(F192,J192)</f>
        <v/>
      </c>
      <c r="M192">
        <f>MIN(K192,MAX(0,F192-(J192-K192)))</f>
        <v/>
      </c>
    </row>
    <row r="193">
      <c r="A193" t="inlineStr">
        <is>
          <t>HARBOR-OFFICE</t>
        </is>
      </c>
      <c r="B193" t="inlineStr">
        <is>
          <t>2026-09-22</t>
        </is>
      </c>
      <c r="C193" t="n">
        <v>1</v>
      </c>
      <c r="D193" t="n">
        <v>23</v>
      </c>
      <c r="E193" t="n">
        <v>2</v>
      </c>
      <c r="F193" t="n">
        <v>1043</v>
      </c>
      <c r="G193" t="n">
        <v>0</v>
      </c>
      <c r="H193" t="n">
        <v>0</v>
      </c>
      <c r="I193" t="n">
        <v>1696</v>
      </c>
      <c r="J193" t="n">
        <v>1696</v>
      </c>
      <c r="K193" t="n">
        <v>1696</v>
      </c>
      <c r="L193">
        <f>MIN(F193,J193)</f>
        <v/>
      </c>
      <c r="M193">
        <f>MIN(K193,MAX(0,F193-(J193-K193)))</f>
        <v/>
      </c>
    </row>
    <row r="194">
      <c r="A194" t="inlineStr">
        <is>
          <t>HARBOR-OFFICE</t>
        </is>
      </c>
      <c r="B194" t="inlineStr">
        <is>
          <t>2026-09-23</t>
        </is>
      </c>
      <c r="C194" t="n">
        <v>2</v>
      </c>
      <c r="D194" t="n">
        <v>0</v>
      </c>
      <c r="E194" t="n">
        <v>3</v>
      </c>
      <c r="F194" t="n">
        <v>1043</v>
      </c>
      <c r="G194" t="n">
        <v>0</v>
      </c>
      <c r="H194" t="n">
        <v>0</v>
      </c>
      <c r="I194" t="n">
        <v>1468</v>
      </c>
      <c r="J194" t="n">
        <v>1468</v>
      </c>
      <c r="K194" t="n">
        <v>1468</v>
      </c>
      <c r="L194">
        <f>MIN(F194,J194)</f>
        <v/>
      </c>
      <c r="M194">
        <f>MIN(K194,MAX(0,F194-(J194-K194)))</f>
        <v/>
      </c>
    </row>
    <row r="195">
      <c r="A195" t="inlineStr">
        <is>
          <t>HARBOR-OFFICE</t>
        </is>
      </c>
      <c r="B195" t="inlineStr">
        <is>
          <t>2026-09-23</t>
        </is>
      </c>
      <c r="C195" t="n">
        <v>2</v>
      </c>
      <c r="D195" t="n">
        <v>1</v>
      </c>
      <c r="E195" t="n">
        <v>3</v>
      </c>
      <c r="F195" t="n">
        <v>1043</v>
      </c>
      <c r="G195" t="n">
        <v>0</v>
      </c>
      <c r="H195" t="n">
        <v>0</v>
      </c>
      <c r="I195" t="n">
        <v>1390</v>
      </c>
      <c r="J195" t="n">
        <v>1390</v>
      </c>
      <c r="K195" t="n">
        <v>1390</v>
      </c>
      <c r="L195">
        <f>MIN(F195,J195)</f>
        <v/>
      </c>
      <c r="M195">
        <f>MIN(K195,MAX(0,F195-(J195-K195)))</f>
        <v/>
      </c>
    </row>
    <row r="196">
      <c r="A196" t="inlineStr">
        <is>
          <t>HARBOR-OFFICE</t>
        </is>
      </c>
      <c r="B196" t="inlineStr">
        <is>
          <t>2026-09-23</t>
        </is>
      </c>
      <c r="C196" t="n">
        <v>2</v>
      </c>
      <c r="D196" t="n">
        <v>2</v>
      </c>
      <c r="E196" t="n">
        <v>3</v>
      </c>
      <c r="F196" t="n">
        <v>1043</v>
      </c>
      <c r="G196" t="n">
        <v>0</v>
      </c>
      <c r="H196" t="n">
        <v>0</v>
      </c>
      <c r="I196" t="n">
        <v>1418</v>
      </c>
      <c r="J196" t="n">
        <v>1418</v>
      </c>
      <c r="K196" t="n">
        <v>1418</v>
      </c>
      <c r="L196">
        <f>MIN(F196,J196)</f>
        <v/>
      </c>
      <c r="M196">
        <f>MIN(K196,MAX(0,F196-(J196-K196)))</f>
        <v/>
      </c>
    </row>
    <row r="197">
      <c r="A197" t="inlineStr">
        <is>
          <t>HARBOR-OFFICE</t>
        </is>
      </c>
      <c r="B197" t="inlineStr">
        <is>
          <t>2026-09-23</t>
        </is>
      </c>
      <c r="C197" t="n">
        <v>2</v>
      </c>
      <c r="D197" t="n">
        <v>3</v>
      </c>
      <c r="E197" t="n">
        <v>3</v>
      </c>
      <c r="F197" t="n">
        <v>1043</v>
      </c>
      <c r="G197" t="n">
        <v>0</v>
      </c>
      <c r="H197" t="n">
        <v>0</v>
      </c>
      <c r="I197" t="n">
        <v>1441</v>
      </c>
      <c r="J197" t="n">
        <v>1441</v>
      </c>
      <c r="K197" t="n">
        <v>1441</v>
      </c>
      <c r="L197">
        <f>MIN(F197,J197)</f>
        <v/>
      </c>
      <c r="M197">
        <f>MIN(K197,MAX(0,F197-(J197-K197)))</f>
        <v/>
      </c>
    </row>
    <row r="198">
      <c r="A198" t="inlineStr">
        <is>
          <t>HARBOR-OFFICE</t>
        </is>
      </c>
      <c r="B198" t="inlineStr">
        <is>
          <t>2026-09-23</t>
        </is>
      </c>
      <c r="C198" t="n">
        <v>2</v>
      </c>
      <c r="D198" t="n">
        <v>4</v>
      </c>
      <c r="E198" t="n">
        <v>3</v>
      </c>
      <c r="F198" t="n">
        <v>1043</v>
      </c>
      <c r="G198" t="n">
        <v>0</v>
      </c>
      <c r="H198" t="n">
        <v>0</v>
      </c>
      <c r="I198" t="n">
        <v>1225</v>
      </c>
      <c r="J198" t="n">
        <v>1225</v>
      </c>
      <c r="K198" t="n">
        <v>1225</v>
      </c>
      <c r="L198">
        <f>MIN(F198,J198)</f>
        <v/>
      </c>
      <c r="M198">
        <f>MIN(K198,MAX(0,F198-(J198-K198)))</f>
        <v/>
      </c>
    </row>
    <row r="199">
      <c r="A199" t="inlineStr">
        <is>
          <t>HARBOR-OFFICE</t>
        </is>
      </c>
      <c r="B199" t="inlineStr">
        <is>
          <t>2026-09-23</t>
        </is>
      </c>
      <c r="C199" t="n">
        <v>2</v>
      </c>
      <c r="D199" t="n">
        <v>5</v>
      </c>
      <c r="E199" t="n">
        <v>3</v>
      </c>
      <c r="F199" t="n">
        <v>1043</v>
      </c>
      <c r="G199" t="n">
        <v>3</v>
      </c>
      <c r="H199" t="n">
        <v>0</v>
      </c>
      <c r="I199" t="n">
        <v>1166</v>
      </c>
      <c r="J199" t="n">
        <v>1169</v>
      </c>
      <c r="K199" t="n">
        <v>1166</v>
      </c>
      <c r="L199">
        <f>MIN(F199,J199)</f>
        <v/>
      </c>
      <c r="M199">
        <f>MIN(K199,MAX(0,F199-(J199-K199)))</f>
        <v/>
      </c>
    </row>
    <row r="200">
      <c r="A200" t="inlineStr">
        <is>
          <t>HARBOR-OFFICE</t>
        </is>
      </c>
      <c r="B200" t="inlineStr">
        <is>
          <t>2026-09-23</t>
        </is>
      </c>
      <c r="C200" t="n">
        <v>2</v>
      </c>
      <c r="D200" t="n">
        <v>6</v>
      </c>
      <c r="E200" t="n">
        <v>3</v>
      </c>
      <c r="F200" t="n">
        <v>1043</v>
      </c>
      <c r="G200" t="n">
        <v>170</v>
      </c>
      <c r="H200" t="n">
        <v>0</v>
      </c>
      <c r="I200" t="n">
        <v>1088</v>
      </c>
      <c r="J200" t="n">
        <v>1258</v>
      </c>
      <c r="K200" t="n">
        <v>1088</v>
      </c>
      <c r="L200">
        <f>MIN(F200,J200)</f>
        <v/>
      </c>
      <c r="M200">
        <f>MIN(K200,MAX(0,F200-(J200-K200)))</f>
        <v/>
      </c>
    </row>
    <row r="201">
      <c r="A201" t="inlineStr">
        <is>
          <t>HARBOR-OFFICE</t>
        </is>
      </c>
      <c r="B201" t="inlineStr">
        <is>
          <t>2026-09-23</t>
        </is>
      </c>
      <c r="C201" t="n">
        <v>2</v>
      </c>
      <c r="D201" t="n">
        <v>7</v>
      </c>
      <c r="E201" t="n">
        <v>3</v>
      </c>
      <c r="F201" t="n">
        <v>1043</v>
      </c>
      <c r="G201" t="n">
        <v>1170</v>
      </c>
      <c r="H201" t="n">
        <v>0</v>
      </c>
      <c r="I201" t="n">
        <v>1138</v>
      </c>
      <c r="J201" t="n">
        <v>2308</v>
      </c>
      <c r="K201" t="n">
        <v>1138</v>
      </c>
      <c r="L201">
        <f>MIN(F201,J201)</f>
        <v/>
      </c>
      <c r="M201">
        <f>MIN(K201,MAX(0,F201-(J201-K201)))</f>
        <v/>
      </c>
    </row>
    <row r="202">
      <c r="A202" t="inlineStr">
        <is>
          <t>HARBOR-OFFICE</t>
        </is>
      </c>
      <c r="B202" t="inlineStr">
        <is>
          <t>2026-09-23</t>
        </is>
      </c>
      <c r="C202" t="n">
        <v>2</v>
      </c>
      <c r="D202" t="n">
        <v>8</v>
      </c>
      <c r="E202" t="n">
        <v>3</v>
      </c>
      <c r="F202" t="n">
        <v>5217</v>
      </c>
      <c r="G202" t="n">
        <v>2348</v>
      </c>
      <c r="H202" t="n">
        <v>0</v>
      </c>
      <c r="I202" t="n">
        <v>1194</v>
      </c>
      <c r="J202" t="n">
        <v>3542</v>
      </c>
      <c r="K202" t="n">
        <v>1194</v>
      </c>
      <c r="L202">
        <f>MIN(F202,J202)</f>
        <v/>
      </c>
      <c r="M202">
        <f>MIN(K202,MAX(0,F202-(J202-K202)))</f>
        <v/>
      </c>
    </row>
    <row r="203">
      <c r="A203" t="inlineStr">
        <is>
          <t>HARBOR-OFFICE</t>
        </is>
      </c>
      <c r="B203" t="inlineStr">
        <is>
          <t>2026-09-23</t>
        </is>
      </c>
      <c r="C203" t="n">
        <v>2</v>
      </c>
      <c r="D203" t="n">
        <v>9</v>
      </c>
      <c r="E203" t="n">
        <v>3</v>
      </c>
      <c r="F203" t="n">
        <v>5217</v>
      </c>
      <c r="G203" t="n">
        <v>3004</v>
      </c>
      <c r="H203" t="n">
        <v>0</v>
      </c>
      <c r="I203" t="n">
        <v>1180</v>
      </c>
      <c r="J203" t="n">
        <v>4184</v>
      </c>
      <c r="K203" t="n">
        <v>1180</v>
      </c>
      <c r="L203">
        <f>MIN(F203,J203)</f>
        <v/>
      </c>
      <c r="M203">
        <f>MIN(K203,MAX(0,F203-(J203-K203)))</f>
        <v/>
      </c>
    </row>
    <row r="204">
      <c r="A204" t="inlineStr">
        <is>
          <t>HARBOR-OFFICE</t>
        </is>
      </c>
      <c r="B204" t="inlineStr">
        <is>
          <t>2026-09-23</t>
        </is>
      </c>
      <c r="C204" t="n">
        <v>2</v>
      </c>
      <c r="D204" t="n">
        <v>10</v>
      </c>
      <c r="E204" t="n">
        <v>3</v>
      </c>
      <c r="F204" t="n">
        <v>5217</v>
      </c>
      <c r="G204" t="n">
        <v>3269</v>
      </c>
      <c r="H204" t="n">
        <v>0</v>
      </c>
      <c r="I204" t="n">
        <v>1357</v>
      </c>
      <c r="J204" t="n">
        <v>4626</v>
      </c>
      <c r="K204" t="n">
        <v>1357</v>
      </c>
      <c r="L204">
        <f>MIN(F204,J204)</f>
        <v/>
      </c>
      <c r="M204">
        <f>MIN(K204,MAX(0,F204-(J204-K204)))</f>
        <v/>
      </c>
    </row>
    <row r="205">
      <c r="A205" t="inlineStr">
        <is>
          <t>HARBOR-OFFICE</t>
        </is>
      </c>
      <c r="B205" t="inlineStr">
        <is>
          <t>2026-09-23</t>
        </is>
      </c>
      <c r="C205" t="n">
        <v>2</v>
      </c>
      <c r="D205" t="n">
        <v>11</v>
      </c>
      <c r="E205" t="n">
        <v>3</v>
      </c>
      <c r="F205" t="n">
        <v>5217</v>
      </c>
      <c r="G205" t="n">
        <v>3539</v>
      </c>
      <c r="H205" t="n">
        <v>0</v>
      </c>
      <c r="I205" t="n">
        <v>1215</v>
      </c>
      <c r="J205" t="n">
        <v>4754</v>
      </c>
      <c r="K205" t="n">
        <v>1215</v>
      </c>
      <c r="L205">
        <f>MIN(F205,J205)</f>
        <v/>
      </c>
      <c r="M205">
        <f>MIN(K205,MAX(0,F205-(J205-K205)))</f>
        <v/>
      </c>
    </row>
    <row r="206">
      <c r="A206" t="inlineStr">
        <is>
          <t>HARBOR-OFFICE</t>
        </is>
      </c>
      <c r="B206" t="inlineStr">
        <is>
          <t>2026-09-23</t>
        </is>
      </c>
      <c r="C206" t="n">
        <v>2</v>
      </c>
      <c r="D206" t="n">
        <v>12</v>
      </c>
      <c r="E206" t="n">
        <v>3</v>
      </c>
      <c r="F206" t="n">
        <v>5217</v>
      </c>
      <c r="G206" t="n">
        <v>3642</v>
      </c>
      <c r="H206" t="n">
        <v>0</v>
      </c>
      <c r="I206" t="n">
        <v>1174</v>
      </c>
      <c r="J206" t="n">
        <v>4816</v>
      </c>
      <c r="K206" t="n">
        <v>1174</v>
      </c>
      <c r="L206">
        <f>MIN(F206,J206)</f>
        <v/>
      </c>
      <c r="M206">
        <f>MIN(K206,MAX(0,F206-(J206-K206)))</f>
        <v/>
      </c>
    </row>
    <row r="207">
      <c r="A207" t="inlineStr">
        <is>
          <t>HARBOR-OFFICE</t>
        </is>
      </c>
      <c r="B207" t="inlineStr">
        <is>
          <t>2026-09-23</t>
        </is>
      </c>
      <c r="C207" t="n">
        <v>2</v>
      </c>
      <c r="D207" t="n">
        <v>13</v>
      </c>
      <c r="E207" t="n">
        <v>3</v>
      </c>
      <c r="F207" t="n">
        <v>5217</v>
      </c>
      <c r="G207" t="n">
        <v>3473</v>
      </c>
      <c r="H207" t="n">
        <v>0</v>
      </c>
      <c r="I207" t="n">
        <v>1153</v>
      </c>
      <c r="J207" t="n">
        <v>4626</v>
      </c>
      <c r="K207" t="n">
        <v>1153</v>
      </c>
      <c r="L207">
        <f>MIN(F207,J207)</f>
        <v/>
      </c>
      <c r="M207">
        <f>MIN(K207,MAX(0,F207-(J207-K207)))</f>
        <v/>
      </c>
    </row>
    <row r="208">
      <c r="A208" t="inlineStr">
        <is>
          <t>HARBOR-OFFICE</t>
        </is>
      </c>
      <c r="B208" t="inlineStr">
        <is>
          <t>2026-09-23</t>
        </is>
      </c>
      <c r="C208" t="n">
        <v>2</v>
      </c>
      <c r="D208" t="n">
        <v>14</v>
      </c>
      <c r="E208" t="n">
        <v>3</v>
      </c>
      <c r="F208" t="n">
        <v>5217</v>
      </c>
      <c r="G208" t="n">
        <v>3185</v>
      </c>
      <c r="H208" t="n">
        <v>0</v>
      </c>
      <c r="I208" t="n">
        <v>1261</v>
      </c>
      <c r="J208" t="n">
        <v>4446</v>
      </c>
      <c r="K208" t="n">
        <v>1261</v>
      </c>
      <c r="L208">
        <f>MIN(F208,J208)</f>
        <v/>
      </c>
      <c r="M208">
        <f>MIN(K208,MAX(0,F208-(J208-K208)))</f>
        <v/>
      </c>
    </row>
    <row r="209">
      <c r="A209" t="inlineStr">
        <is>
          <t>HARBOR-OFFICE</t>
        </is>
      </c>
      <c r="B209" t="inlineStr">
        <is>
          <t>2026-09-23</t>
        </is>
      </c>
      <c r="C209" t="n">
        <v>2</v>
      </c>
      <c r="D209" t="n">
        <v>15</v>
      </c>
      <c r="E209" t="n">
        <v>3</v>
      </c>
      <c r="F209" t="n">
        <v>5217</v>
      </c>
      <c r="G209" t="n">
        <v>2362</v>
      </c>
      <c r="H209" t="n">
        <v>0</v>
      </c>
      <c r="I209" t="n">
        <v>1379</v>
      </c>
      <c r="J209" t="n">
        <v>3741</v>
      </c>
      <c r="K209" t="n">
        <v>1379</v>
      </c>
      <c r="L209">
        <f>MIN(F209,J209)</f>
        <v/>
      </c>
      <c r="M209">
        <f>MIN(K209,MAX(0,F209-(J209-K209)))</f>
        <v/>
      </c>
    </row>
    <row r="210">
      <c r="A210" t="inlineStr">
        <is>
          <t>HARBOR-OFFICE</t>
        </is>
      </c>
      <c r="B210" t="inlineStr">
        <is>
          <t>2026-09-23</t>
        </is>
      </c>
      <c r="C210" t="n">
        <v>2</v>
      </c>
      <c r="D210" t="n">
        <v>16</v>
      </c>
      <c r="E210" t="n">
        <v>3</v>
      </c>
      <c r="F210" t="n">
        <v>5217</v>
      </c>
      <c r="G210" t="n">
        <v>1248</v>
      </c>
      <c r="H210" t="n">
        <v>0</v>
      </c>
      <c r="I210" t="n">
        <v>1511</v>
      </c>
      <c r="J210" t="n">
        <v>2759</v>
      </c>
      <c r="K210" t="n">
        <v>1511</v>
      </c>
      <c r="L210">
        <f>MIN(F210,J210)</f>
        <v/>
      </c>
      <c r="M210">
        <f>MIN(K210,MAX(0,F210-(J210-K210)))</f>
        <v/>
      </c>
    </row>
    <row r="211">
      <c r="A211" t="inlineStr">
        <is>
          <t>HARBOR-OFFICE</t>
        </is>
      </c>
      <c r="B211" t="inlineStr">
        <is>
          <t>2026-09-23</t>
        </is>
      </c>
      <c r="C211" t="n">
        <v>2</v>
      </c>
      <c r="D211" t="n">
        <v>17</v>
      </c>
      <c r="E211" t="n">
        <v>3</v>
      </c>
      <c r="F211" t="n">
        <v>5217</v>
      </c>
      <c r="G211" t="n">
        <v>366</v>
      </c>
      <c r="H211" t="n">
        <v>0</v>
      </c>
      <c r="I211" t="n">
        <v>2661</v>
      </c>
      <c r="J211" t="n">
        <v>3027</v>
      </c>
      <c r="K211" t="n">
        <v>2661</v>
      </c>
      <c r="L211">
        <f>MIN(F211,J211)</f>
        <v/>
      </c>
      <c r="M211">
        <f>MIN(K211,MAX(0,F211-(J211-K211)))</f>
        <v/>
      </c>
    </row>
    <row r="212">
      <c r="A212" t="inlineStr">
        <is>
          <t>HARBOR-OFFICE</t>
        </is>
      </c>
      <c r="B212" t="inlineStr">
        <is>
          <t>2026-09-23</t>
        </is>
      </c>
      <c r="C212" t="n">
        <v>2</v>
      </c>
      <c r="D212" t="n">
        <v>18</v>
      </c>
      <c r="E212" t="n">
        <v>3</v>
      </c>
      <c r="F212" t="n">
        <v>5217</v>
      </c>
      <c r="G212" t="n">
        <v>0</v>
      </c>
      <c r="H212" t="n">
        <v>0</v>
      </c>
      <c r="I212" t="n">
        <v>2844</v>
      </c>
      <c r="J212" t="n">
        <v>2844</v>
      </c>
      <c r="K212" t="n">
        <v>2844</v>
      </c>
      <c r="L212">
        <f>MIN(F212,J212)</f>
        <v/>
      </c>
      <c r="M212">
        <f>MIN(K212,MAX(0,F212-(J212-K212)))</f>
        <v/>
      </c>
    </row>
    <row r="213">
      <c r="A213" t="inlineStr">
        <is>
          <t>HARBOR-OFFICE</t>
        </is>
      </c>
      <c r="B213" t="inlineStr">
        <is>
          <t>2026-09-23</t>
        </is>
      </c>
      <c r="C213" t="n">
        <v>2</v>
      </c>
      <c r="D213" t="n">
        <v>19</v>
      </c>
      <c r="E213" t="n">
        <v>3</v>
      </c>
      <c r="F213" t="n">
        <v>1043</v>
      </c>
      <c r="G213" t="n">
        <v>0</v>
      </c>
      <c r="H213" t="n">
        <v>0</v>
      </c>
      <c r="I213" t="n">
        <v>2882</v>
      </c>
      <c r="J213" t="n">
        <v>2882</v>
      </c>
      <c r="K213" t="n">
        <v>2882</v>
      </c>
      <c r="L213">
        <f>MIN(F213,J213)</f>
        <v/>
      </c>
      <c r="M213">
        <f>MIN(K213,MAX(0,F213-(J213-K213)))</f>
        <v/>
      </c>
    </row>
    <row r="214">
      <c r="A214" t="inlineStr">
        <is>
          <t>HARBOR-OFFICE</t>
        </is>
      </c>
      <c r="B214" t="inlineStr">
        <is>
          <t>2026-09-23</t>
        </is>
      </c>
      <c r="C214" t="n">
        <v>2</v>
      </c>
      <c r="D214" t="n">
        <v>20</v>
      </c>
      <c r="E214" t="n">
        <v>3</v>
      </c>
      <c r="F214" t="n">
        <v>1043</v>
      </c>
      <c r="G214" t="n">
        <v>0</v>
      </c>
      <c r="H214" t="n">
        <v>0</v>
      </c>
      <c r="I214" t="n">
        <v>2990</v>
      </c>
      <c r="J214" t="n">
        <v>2990</v>
      </c>
      <c r="K214" t="n">
        <v>2990</v>
      </c>
      <c r="L214">
        <f>MIN(F214,J214)</f>
        <v/>
      </c>
      <c r="M214">
        <f>MIN(K214,MAX(0,F214-(J214-K214)))</f>
        <v/>
      </c>
    </row>
    <row r="215">
      <c r="A215" t="inlineStr">
        <is>
          <t>HARBOR-OFFICE</t>
        </is>
      </c>
      <c r="B215" t="inlineStr">
        <is>
          <t>2026-09-23</t>
        </is>
      </c>
      <c r="C215" t="n">
        <v>2</v>
      </c>
      <c r="D215" t="n">
        <v>21</v>
      </c>
      <c r="E215" t="n">
        <v>3</v>
      </c>
      <c r="F215" t="n">
        <v>1043</v>
      </c>
      <c r="G215" t="n">
        <v>0</v>
      </c>
      <c r="H215" t="n">
        <v>0</v>
      </c>
      <c r="I215" t="n">
        <v>2933</v>
      </c>
      <c r="J215" t="n">
        <v>2933</v>
      </c>
      <c r="K215" t="n">
        <v>2933</v>
      </c>
      <c r="L215">
        <f>MIN(F215,J215)</f>
        <v/>
      </c>
      <c r="M215">
        <f>MIN(K215,MAX(0,F215-(J215-K215)))</f>
        <v/>
      </c>
    </row>
    <row r="216">
      <c r="A216" t="inlineStr">
        <is>
          <t>HARBOR-OFFICE</t>
        </is>
      </c>
      <c r="B216" t="inlineStr">
        <is>
          <t>2026-09-23</t>
        </is>
      </c>
      <c r="C216" t="n">
        <v>2</v>
      </c>
      <c r="D216" t="n">
        <v>22</v>
      </c>
      <c r="E216" t="n">
        <v>3</v>
      </c>
      <c r="F216" t="n">
        <v>1043</v>
      </c>
      <c r="G216" t="n">
        <v>0</v>
      </c>
      <c r="H216" t="n">
        <v>0</v>
      </c>
      <c r="I216" t="n">
        <v>2715</v>
      </c>
      <c r="J216" t="n">
        <v>2715</v>
      </c>
      <c r="K216" t="n">
        <v>2715</v>
      </c>
      <c r="L216">
        <f>MIN(F216,J216)</f>
        <v/>
      </c>
      <c r="M216">
        <f>MIN(K216,MAX(0,F216-(J216-K216)))</f>
        <v/>
      </c>
    </row>
    <row r="217">
      <c r="A217" t="inlineStr">
        <is>
          <t>HARBOR-OFFICE</t>
        </is>
      </c>
      <c r="B217" t="inlineStr">
        <is>
          <t>2026-09-23</t>
        </is>
      </c>
      <c r="C217" t="n">
        <v>2</v>
      </c>
      <c r="D217" t="n">
        <v>23</v>
      </c>
      <c r="E217" t="n">
        <v>3</v>
      </c>
      <c r="F217" t="n">
        <v>1043</v>
      </c>
      <c r="G217" t="n">
        <v>0</v>
      </c>
      <c r="H217" t="n">
        <v>0</v>
      </c>
      <c r="I217" t="n">
        <v>2399</v>
      </c>
      <c r="J217" t="n">
        <v>2399</v>
      </c>
      <c r="K217" t="n">
        <v>2399</v>
      </c>
      <c r="L217">
        <f>MIN(F217,J217)</f>
        <v/>
      </c>
      <c r="M217">
        <f>MIN(K217,MAX(0,F217-(J217-K217)))</f>
        <v/>
      </c>
    </row>
    <row r="218">
      <c r="A218" t="inlineStr">
        <is>
          <t>HARBOR-OFFICE</t>
        </is>
      </c>
      <c r="B218" t="inlineStr">
        <is>
          <t>2026-09-24</t>
        </is>
      </c>
      <c r="C218" t="n">
        <v>3</v>
      </c>
      <c r="D218" t="n">
        <v>0</v>
      </c>
      <c r="E218" t="n">
        <v>4</v>
      </c>
      <c r="F218" t="n">
        <v>1043</v>
      </c>
      <c r="G218" t="n">
        <v>0</v>
      </c>
      <c r="H218" t="n">
        <v>0</v>
      </c>
      <c r="I218" t="n">
        <v>1932</v>
      </c>
      <c r="J218" t="n">
        <v>1932</v>
      </c>
      <c r="K218" t="n">
        <v>1932</v>
      </c>
      <c r="L218">
        <f>MIN(F218,J218)</f>
        <v/>
      </c>
      <c r="M218">
        <f>MIN(K218,MAX(0,F218-(J218-K218)))</f>
        <v/>
      </c>
    </row>
    <row r="219">
      <c r="A219" t="inlineStr">
        <is>
          <t>HARBOR-OFFICE</t>
        </is>
      </c>
      <c r="B219" t="inlineStr">
        <is>
          <t>2026-09-24</t>
        </is>
      </c>
      <c r="C219" t="n">
        <v>3</v>
      </c>
      <c r="D219" t="n">
        <v>1</v>
      </c>
      <c r="E219" t="n">
        <v>4</v>
      </c>
      <c r="F219" t="n">
        <v>1043</v>
      </c>
      <c r="G219" t="n">
        <v>0</v>
      </c>
      <c r="H219" t="n">
        <v>0</v>
      </c>
      <c r="I219" t="n">
        <v>1842</v>
      </c>
      <c r="J219" t="n">
        <v>1842</v>
      </c>
      <c r="K219" t="n">
        <v>1842</v>
      </c>
      <c r="L219">
        <f>MIN(F219,J219)</f>
        <v/>
      </c>
      <c r="M219">
        <f>MIN(K219,MAX(0,F219-(J219-K219)))</f>
        <v/>
      </c>
    </row>
    <row r="220">
      <c r="A220" t="inlineStr">
        <is>
          <t>HARBOR-OFFICE</t>
        </is>
      </c>
      <c r="B220" t="inlineStr">
        <is>
          <t>2026-09-24</t>
        </is>
      </c>
      <c r="C220" t="n">
        <v>3</v>
      </c>
      <c r="D220" t="n">
        <v>2</v>
      </c>
      <c r="E220" t="n">
        <v>4</v>
      </c>
      <c r="F220" t="n">
        <v>1043</v>
      </c>
      <c r="G220" t="n">
        <v>0</v>
      </c>
      <c r="H220" t="n">
        <v>0</v>
      </c>
      <c r="I220" t="n">
        <v>1654</v>
      </c>
      <c r="J220" t="n">
        <v>1654</v>
      </c>
      <c r="K220" t="n">
        <v>1654</v>
      </c>
      <c r="L220">
        <f>MIN(F220,J220)</f>
        <v/>
      </c>
      <c r="M220">
        <f>MIN(K220,MAX(0,F220-(J220-K220)))</f>
        <v/>
      </c>
    </row>
    <row r="221">
      <c r="A221" t="inlineStr">
        <is>
          <t>HARBOR-OFFICE</t>
        </is>
      </c>
      <c r="B221" t="inlineStr">
        <is>
          <t>2026-09-24</t>
        </is>
      </c>
      <c r="C221" t="n">
        <v>3</v>
      </c>
      <c r="D221" t="n">
        <v>3</v>
      </c>
      <c r="E221" t="n">
        <v>4</v>
      </c>
      <c r="F221" t="n">
        <v>1043</v>
      </c>
      <c r="G221" t="n">
        <v>0</v>
      </c>
      <c r="H221" t="n">
        <v>0</v>
      </c>
      <c r="I221" t="n">
        <v>1616</v>
      </c>
      <c r="J221" t="n">
        <v>1616</v>
      </c>
      <c r="K221" t="n">
        <v>1616</v>
      </c>
      <c r="L221">
        <f>MIN(F221,J221)</f>
        <v/>
      </c>
      <c r="M221">
        <f>MIN(K221,MAX(0,F221-(J221-K221)))</f>
        <v/>
      </c>
    </row>
    <row r="222">
      <c r="A222" t="inlineStr">
        <is>
          <t>HARBOR-OFFICE</t>
        </is>
      </c>
      <c r="B222" t="inlineStr">
        <is>
          <t>2026-09-24</t>
        </is>
      </c>
      <c r="C222" t="n">
        <v>3</v>
      </c>
      <c r="D222" t="n">
        <v>4</v>
      </c>
      <c r="E222" t="n">
        <v>4</v>
      </c>
      <c r="F222" t="n">
        <v>1043</v>
      </c>
      <c r="G222" t="n">
        <v>0</v>
      </c>
      <c r="H222" t="n">
        <v>0</v>
      </c>
      <c r="I222" t="n">
        <v>1430</v>
      </c>
      <c r="J222" t="n">
        <v>1430</v>
      </c>
      <c r="K222" t="n">
        <v>1430</v>
      </c>
      <c r="L222">
        <f>MIN(F222,J222)</f>
        <v/>
      </c>
      <c r="M222">
        <f>MIN(K222,MAX(0,F222-(J222-K222)))</f>
        <v/>
      </c>
    </row>
    <row r="223">
      <c r="A223" t="inlineStr">
        <is>
          <t>HARBOR-OFFICE</t>
        </is>
      </c>
      <c r="B223" t="inlineStr">
        <is>
          <t>2026-09-24</t>
        </is>
      </c>
      <c r="C223" t="n">
        <v>3</v>
      </c>
      <c r="D223" t="n">
        <v>5</v>
      </c>
      <c r="E223" t="n">
        <v>4</v>
      </c>
      <c r="F223" t="n">
        <v>1043</v>
      </c>
      <c r="G223" t="n">
        <v>3</v>
      </c>
      <c r="H223" t="n">
        <v>0</v>
      </c>
      <c r="I223" t="n">
        <v>1467</v>
      </c>
      <c r="J223" t="n">
        <v>1470</v>
      </c>
      <c r="K223" t="n">
        <v>1467</v>
      </c>
      <c r="L223">
        <f>MIN(F223,J223)</f>
        <v/>
      </c>
      <c r="M223">
        <f>MIN(K223,MAX(0,F223-(J223-K223)))</f>
        <v/>
      </c>
    </row>
    <row r="224">
      <c r="A224" t="inlineStr">
        <is>
          <t>HARBOR-OFFICE</t>
        </is>
      </c>
      <c r="B224" t="inlineStr">
        <is>
          <t>2026-09-24</t>
        </is>
      </c>
      <c r="C224" t="n">
        <v>3</v>
      </c>
      <c r="D224" t="n">
        <v>6</v>
      </c>
      <c r="E224" t="n">
        <v>4</v>
      </c>
      <c r="F224" t="n">
        <v>1043</v>
      </c>
      <c r="G224" t="n">
        <v>148</v>
      </c>
      <c r="H224" t="n">
        <v>0</v>
      </c>
      <c r="I224" t="n">
        <v>1668</v>
      </c>
      <c r="J224" t="n">
        <v>1816</v>
      </c>
      <c r="K224" t="n">
        <v>1668</v>
      </c>
      <c r="L224">
        <f>MIN(F224,J224)</f>
        <v/>
      </c>
      <c r="M224">
        <f>MIN(K224,MAX(0,F224-(J224-K224)))</f>
        <v/>
      </c>
    </row>
    <row r="225">
      <c r="A225" t="inlineStr">
        <is>
          <t>HARBOR-OFFICE</t>
        </is>
      </c>
      <c r="B225" t="inlineStr">
        <is>
          <t>2026-09-24</t>
        </is>
      </c>
      <c r="C225" t="n">
        <v>3</v>
      </c>
      <c r="D225" t="n">
        <v>7</v>
      </c>
      <c r="E225" t="n">
        <v>4</v>
      </c>
      <c r="F225" t="n">
        <v>1043</v>
      </c>
      <c r="G225" t="n">
        <v>1083</v>
      </c>
      <c r="H225" t="n">
        <v>0</v>
      </c>
      <c r="I225" t="n">
        <v>1245</v>
      </c>
      <c r="J225" t="n">
        <v>2328</v>
      </c>
      <c r="K225" t="n">
        <v>1245</v>
      </c>
      <c r="L225">
        <f>MIN(F225,J225)</f>
        <v/>
      </c>
      <c r="M225">
        <f>MIN(K225,MAX(0,F225-(J225-K225)))</f>
        <v/>
      </c>
    </row>
    <row r="226">
      <c r="A226" t="inlineStr">
        <is>
          <t>HARBOR-OFFICE</t>
        </is>
      </c>
      <c r="B226" t="inlineStr">
        <is>
          <t>2026-09-24</t>
        </is>
      </c>
      <c r="C226" t="n">
        <v>3</v>
      </c>
      <c r="D226" t="n">
        <v>8</v>
      </c>
      <c r="E226" t="n">
        <v>4</v>
      </c>
      <c r="F226" t="n">
        <v>5217</v>
      </c>
      <c r="G226" t="n">
        <v>2314</v>
      </c>
      <c r="H226" t="n">
        <v>0</v>
      </c>
      <c r="I226" t="n">
        <v>1246</v>
      </c>
      <c r="J226" t="n">
        <v>3560</v>
      </c>
      <c r="K226" t="n">
        <v>1246</v>
      </c>
      <c r="L226">
        <f>MIN(F226,J226)</f>
        <v/>
      </c>
      <c r="M226">
        <f>MIN(K226,MAX(0,F226-(J226-K226)))</f>
        <v/>
      </c>
    </row>
    <row r="227">
      <c r="A227" t="inlineStr">
        <is>
          <t>HARBOR-OFFICE</t>
        </is>
      </c>
      <c r="B227" t="inlineStr">
        <is>
          <t>2026-09-24</t>
        </is>
      </c>
      <c r="C227" t="n">
        <v>3</v>
      </c>
      <c r="D227" t="n">
        <v>9</v>
      </c>
      <c r="E227" t="n">
        <v>4</v>
      </c>
      <c r="F227" t="n">
        <v>5217</v>
      </c>
      <c r="G227" t="n">
        <v>3121</v>
      </c>
      <c r="H227" t="n">
        <v>0</v>
      </c>
      <c r="I227" t="n">
        <v>967</v>
      </c>
      <c r="J227" t="n">
        <v>4088</v>
      </c>
      <c r="K227" t="n">
        <v>967</v>
      </c>
      <c r="L227">
        <f>MIN(F227,J227)</f>
        <v/>
      </c>
      <c r="M227">
        <f>MIN(K227,MAX(0,F227-(J227-K227)))</f>
        <v/>
      </c>
    </row>
    <row r="228">
      <c r="A228" t="inlineStr">
        <is>
          <t>HARBOR-OFFICE</t>
        </is>
      </c>
      <c r="B228" t="inlineStr">
        <is>
          <t>2026-09-24</t>
        </is>
      </c>
      <c r="C228" t="n">
        <v>3</v>
      </c>
      <c r="D228" t="n">
        <v>10</v>
      </c>
      <c r="E228" t="n">
        <v>4</v>
      </c>
      <c r="F228" t="n">
        <v>5217</v>
      </c>
      <c r="G228" t="n">
        <v>3652</v>
      </c>
      <c r="H228" t="n">
        <v>0</v>
      </c>
      <c r="I228" t="n">
        <v>781</v>
      </c>
      <c r="J228" t="n">
        <v>4433</v>
      </c>
      <c r="K228" t="n">
        <v>781</v>
      </c>
      <c r="L228">
        <f>MIN(F228,J228)</f>
        <v/>
      </c>
      <c r="M228">
        <f>MIN(K228,MAX(0,F228-(J228-K228)))</f>
        <v/>
      </c>
    </row>
    <row r="229">
      <c r="A229" t="inlineStr">
        <is>
          <t>HARBOR-OFFICE</t>
        </is>
      </c>
      <c r="B229" t="inlineStr">
        <is>
          <t>2026-09-24</t>
        </is>
      </c>
      <c r="C229" t="n">
        <v>3</v>
      </c>
      <c r="D229" t="n">
        <v>11</v>
      </c>
      <c r="E229" t="n">
        <v>4</v>
      </c>
      <c r="F229" t="n">
        <v>5217</v>
      </c>
      <c r="G229" t="n">
        <v>3905</v>
      </c>
      <c r="H229" t="n">
        <v>0</v>
      </c>
      <c r="I229" t="n">
        <v>701</v>
      </c>
      <c r="J229" t="n">
        <v>4606</v>
      </c>
      <c r="K229" t="n">
        <v>701</v>
      </c>
      <c r="L229">
        <f>MIN(F229,J229)</f>
        <v/>
      </c>
      <c r="M229">
        <f>MIN(K229,MAX(0,F229-(J229-K229)))</f>
        <v/>
      </c>
    </row>
    <row r="230">
      <c r="A230" t="inlineStr">
        <is>
          <t>HARBOR-OFFICE</t>
        </is>
      </c>
      <c r="B230" t="inlineStr">
        <is>
          <t>2026-09-24</t>
        </is>
      </c>
      <c r="C230" t="n">
        <v>3</v>
      </c>
      <c r="D230" t="n">
        <v>12</v>
      </c>
      <c r="E230" t="n">
        <v>4</v>
      </c>
      <c r="F230" t="n">
        <v>5217</v>
      </c>
      <c r="G230" t="n">
        <v>4147</v>
      </c>
      <c r="H230" t="n">
        <v>0</v>
      </c>
      <c r="I230" t="n">
        <v>661</v>
      </c>
      <c r="J230" t="n">
        <v>4808</v>
      </c>
      <c r="K230" t="n">
        <v>661</v>
      </c>
      <c r="L230">
        <f>MIN(F230,J230)</f>
        <v/>
      </c>
      <c r="M230">
        <f>MIN(K230,MAX(0,F230-(J230-K230)))</f>
        <v/>
      </c>
    </row>
    <row r="231">
      <c r="A231" t="inlineStr">
        <is>
          <t>HARBOR-OFFICE</t>
        </is>
      </c>
      <c r="B231" t="inlineStr">
        <is>
          <t>2026-09-24</t>
        </is>
      </c>
      <c r="C231" t="n">
        <v>3</v>
      </c>
      <c r="D231" t="n">
        <v>13</v>
      </c>
      <c r="E231" t="n">
        <v>4</v>
      </c>
      <c r="F231" t="n">
        <v>5217</v>
      </c>
      <c r="G231" t="n">
        <v>3905</v>
      </c>
      <c r="H231" t="n">
        <v>0</v>
      </c>
      <c r="I231" t="n">
        <v>660</v>
      </c>
      <c r="J231" t="n">
        <v>4565</v>
      </c>
      <c r="K231" t="n">
        <v>660</v>
      </c>
      <c r="L231">
        <f>MIN(F231,J231)</f>
        <v/>
      </c>
      <c r="M231">
        <f>MIN(K231,MAX(0,F231-(J231-K231)))</f>
        <v/>
      </c>
    </row>
    <row r="232">
      <c r="A232" t="inlineStr">
        <is>
          <t>HARBOR-OFFICE</t>
        </is>
      </c>
      <c r="B232" t="inlineStr">
        <is>
          <t>2026-09-24</t>
        </is>
      </c>
      <c r="C232" t="n">
        <v>3</v>
      </c>
      <c r="D232" t="n">
        <v>14</v>
      </c>
      <c r="E232" t="n">
        <v>4</v>
      </c>
      <c r="F232" t="n">
        <v>5217</v>
      </c>
      <c r="G232" t="n">
        <v>3405</v>
      </c>
      <c r="H232" t="n">
        <v>0</v>
      </c>
      <c r="I232" t="n">
        <v>755</v>
      </c>
      <c r="J232" t="n">
        <v>4160</v>
      </c>
      <c r="K232" t="n">
        <v>755</v>
      </c>
      <c r="L232">
        <f>MIN(F232,J232)</f>
        <v/>
      </c>
      <c r="M232">
        <f>MIN(K232,MAX(0,F232-(J232-K232)))</f>
        <v/>
      </c>
    </row>
    <row r="233">
      <c r="A233" t="inlineStr">
        <is>
          <t>HARBOR-OFFICE</t>
        </is>
      </c>
      <c r="B233" t="inlineStr">
        <is>
          <t>2026-09-24</t>
        </is>
      </c>
      <c r="C233" t="n">
        <v>3</v>
      </c>
      <c r="D233" t="n">
        <v>15</v>
      </c>
      <c r="E233" t="n">
        <v>4</v>
      </c>
      <c r="F233" t="n">
        <v>5217</v>
      </c>
      <c r="G233" t="n">
        <v>2522</v>
      </c>
      <c r="H233" t="n">
        <v>0</v>
      </c>
      <c r="I233" t="n">
        <v>901</v>
      </c>
      <c r="J233" t="n">
        <v>3423</v>
      </c>
      <c r="K233" t="n">
        <v>901</v>
      </c>
      <c r="L233">
        <f>MIN(F233,J233)</f>
        <v/>
      </c>
      <c r="M233">
        <f>MIN(K233,MAX(0,F233-(J233-K233)))</f>
        <v/>
      </c>
    </row>
    <row r="234">
      <c r="A234" t="inlineStr">
        <is>
          <t>HARBOR-OFFICE</t>
        </is>
      </c>
      <c r="B234" t="inlineStr">
        <is>
          <t>2026-09-24</t>
        </is>
      </c>
      <c r="C234" t="n">
        <v>3</v>
      </c>
      <c r="D234" t="n">
        <v>16</v>
      </c>
      <c r="E234" t="n">
        <v>4</v>
      </c>
      <c r="F234" t="n">
        <v>5217</v>
      </c>
      <c r="G234" t="n">
        <v>1384</v>
      </c>
      <c r="H234" t="n">
        <v>0</v>
      </c>
      <c r="I234" t="n">
        <v>1007</v>
      </c>
      <c r="J234" t="n">
        <v>2391</v>
      </c>
      <c r="K234" t="n">
        <v>1007</v>
      </c>
      <c r="L234">
        <f>MIN(F234,J234)</f>
        <v/>
      </c>
      <c r="M234">
        <f>MIN(K234,MAX(0,F234-(J234-K234)))</f>
        <v/>
      </c>
    </row>
    <row r="235">
      <c r="A235" t="inlineStr">
        <is>
          <t>HARBOR-OFFICE</t>
        </is>
      </c>
      <c r="B235" t="inlineStr">
        <is>
          <t>2026-09-24</t>
        </is>
      </c>
      <c r="C235" t="n">
        <v>3</v>
      </c>
      <c r="D235" t="n">
        <v>17</v>
      </c>
      <c r="E235" t="n">
        <v>4</v>
      </c>
      <c r="F235" t="n">
        <v>5217</v>
      </c>
      <c r="G235" t="n">
        <v>442</v>
      </c>
      <c r="H235" t="n">
        <v>0</v>
      </c>
      <c r="I235" t="n">
        <v>1407</v>
      </c>
      <c r="J235" t="n">
        <v>1849</v>
      </c>
      <c r="K235" t="n">
        <v>1407</v>
      </c>
      <c r="L235">
        <f>MIN(F235,J235)</f>
        <v/>
      </c>
      <c r="M235">
        <f>MIN(K235,MAX(0,F235-(J235-K235)))</f>
        <v/>
      </c>
    </row>
    <row r="236">
      <c r="A236" t="inlineStr">
        <is>
          <t>HARBOR-OFFICE</t>
        </is>
      </c>
      <c r="B236" t="inlineStr">
        <is>
          <t>2026-09-24</t>
        </is>
      </c>
      <c r="C236" t="n">
        <v>3</v>
      </c>
      <c r="D236" t="n">
        <v>18</v>
      </c>
      <c r="E236" t="n">
        <v>4</v>
      </c>
      <c r="F236" t="n">
        <v>5217</v>
      </c>
      <c r="G236" t="n">
        <v>0</v>
      </c>
      <c r="H236" t="n">
        <v>0</v>
      </c>
      <c r="I236" t="n">
        <v>1625</v>
      </c>
      <c r="J236" t="n">
        <v>1625</v>
      </c>
      <c r="K236" t="n">
        <v>1625</v>
      </c>
      <c r="L236">
        <f>MIN(F236,J236)</f>
        <v/>
      </c>
      <c r="M236">
        <f>MIN(K236,MAX(0,F236-(J236-K236)))</f>
        <v/>
      </c>
    </row>
    <row r="237">
      <c r="A237" t="inlineStr">
        <is>
          <t>HARBOR-OFFICE</t>
        </is>
      </c>
      <c r="B237" t="inlineStr">
        <is>
          <t>2026-09-24</t>
        </is>
      </c>
      <c r="C237" t="n">
        <v>3</v>
      </c>
      <c r="D237" t="n">
        <v>19</v>
      </c>
      <c r="E237" t="n">
        <v>4</v>
      </c>
      <c r="F237" t="n">
        <v>1043</v>
      </c>
      <c r="G237" t="n">
        <v>0</v>
      </c>
      <c r="H237" t="n">
        <v>0</v>
      </c>
      <c r="I237" t="n">
        <v>1754</v>
      </c>
      <c r="J237" t="n">
        <v>1754</v>
      </c>
      <c r="K237" t="n">
        <v>1754</v>
      </c>
      <c r="L237">
        <f>MIN(F237,J237)</f>
        <v/>
      </c>
      <c r="M237">
        <f>MIN(K237,MAX(0,F237-(J237-K237)))</f>
        <v/>
      </c>
    </row>
    <row r="238">
      <c r="A238" t="inlineStr">
        <is>
          <t>HARBOR-OFFICE</t>
        </is>
      </c>
      <c r="B238" t="inlineStr">
        <is>
          <t>2026-09-24</t>
        </is>
      </c>
      <c r="C238" t="n">
        <v>3</v>
      </c>
      <c r="D238" t="n">
        <v>20</v>
      </c>
      <c r="E238" t="n">
        <v>4</v>
      </c>
      <c r="F238" t="n">
        <v>1043</v>
      </c>
      <c r="G238" t="n">
        <v>0</v>
      </c>
      <c r="H238" t="n">
        <v>0</v>
      </c>
      <c r="I238" t="n">
        <v>1704</v>
      </c>
      <c r="J238" t="n">
        <v>1704</v>
      </c>
      <c r="K238" t="n">
        <v>1704</v>
      </c>
      <c r="L238">
        <f>MIN(F238,J238)</f>
        <v/>
      </c>
      <c r="M238">
        <f>MIN(K238,MAX(0,F238-(J238-K238)))</f>
        <v/>
      </c>
    </row>
    <row r="239">
      <c r="A239" t="inlineStr">
        <is>
          <t>HARBOR-OFFICE</t>
        </is>
      </c>
      <c r="B239" t="inlineStr">
        <is>
          <t>2026-09-24</t>
        </is>
      </c>
      <c r="C239" t="n">
        <v>3</v>
      </c>
      <c r="D239" t="n">
        <v>21</v>
      </c>
      <c r="E239" t="n">
        <v>4</v>
      </c>
      <c r="F239" t="n">
        <v>1043</v>
      </c>
      <c r="G239" t="n">
        <v>0</v>
      </c>
      <c r="H239" t="n">
        <v>0</v>
      </c>
      <c r="I239" t="n">
        <v>1519</v>
      </c>
      <c r="J239" t="n">
        <v>1519</v>
      </c>
      <c r="K239" t="n">
        <v>1519</v>
      </c>
      <c r="L239">
        <f>MIN(F239,J239)</f>
        <v/>
      </c>
      <c r="M239">
        <f>MIN(K239,MAX(0,F239-(J239-K239)))</f>
        <v/>
      </c>
    </row>
    <row r="240">
      <c r="A240" t="inlineStr">
        <is>
          <t>HARBOR-OFFICE</t>
        </is>
      </c>
      <c r="B240" t="inlineStr">
        <is>
          <t>2026-09-24</t>
        </is>
      </c>
      <c r="C240" t="n">
        <v>3</v>
      </c>
      <c r="D240" t="n">
        <v>22</v>
      </c>
      <c r="E240" t="n">
        <v>4</v>
      </c>
      <c r="F240" t="n">
        <v>1043</v>
      </c>
      <c r="G240" t="n">
        <v>0</v>
      </c>
      <c r="H240" t="n">
        <v>0</v>
      </c>
      <c r="I240" t="n">
        <v>1340</v>
      </c>
      <c r="J240" t="n">
        <v>1340</v>
      </c>
      <c r="K240" t="n">
        <v>1340</v>
      </c>
      <c r="L240">
        <f>MIN(F240,J240)</f>
        <v/>
      </c>
      <c r="M240">
        <f>MIN(K240,MAX(0,F240-(J240-K240)))</f>
        <v/>
      </c>
    </row>
    <row r="241">
      <c r="A241" t="inlineStr">
        <is>
          <t>HARBOR-OFFICE</t>
        </is>
      </c>
      <c r="B241" t="inlineStr">
        <is>
          <t>2026-09-24</t>
        </is>
      </c>
      <c r="C241" t="n">
        <v>3</v>
      </c>
      <c r="D241" t="n">
        <v>23</v>
      </c>
      <c r="E241" t="n">
        <v>4</v>
      </c>
      <c r="F241" t="n">
        <v>1043</v>
      </c>
      <c r="G241" t="n">
        <v>0</v>
      </c>
      <c r="H241" t="n">
        <v>0</v>
      </c>
      <c r="I241" t="n">
        <v>1193</v>
      </c>
      <c r="J241" t="n">
        <v>1193</v>
      </c>
      <c r="K241" t="n">
        <v>1193</v>
      </c>
      <c r="L241">
        <f>MIN(F241,J241)</f>
        <v/>
      </c>
      <c r="M241">
        <f>MIN(K241,MAX(0,F241-(J241-K241)))</f>
        <v/>
      </c>
    </row>
    <row r="242">
      <c r="A242" t="inlineStr">
        <is>
          <t>HARBOR-OFFICE</t>
        </is>
      </c>
      <c r="B242" t="inlineStr">
        <is>
          <t>2026-09-25</t>
        </is>
      </c>
      <c r="C242" t="n">
        <v>4</v>
      </c>
      <c r="D242" t="n">
        <v>0</v>
      </c>
      <c r="E242" t="n">
        <v>5</v>
      </c>
      <c r="F242" t="n">
        <v>1043</v>
      </c>
      <c r="G242" t="n">
        <v>0</v>
      </c>
      <c r="H242" t="n">
        <v>0</v>
      </c>
      <c r="I242" t="n">
        <v>1132</v>
      </c>
      <c r="J242" t="n">
        <v>1132</v>
      </c>
      <c r="K242" t="n">
        <v>1132</v>
      </c>
      <c r="L242">
        <f>MIN(F242,J242)</f>
        <v/>
      </c>
      <c r="M242">
        <f>MIN(K242,MAX(0,F242-(J242-K242)))</f>
        <v/>
      </c>
    </row>
    <row r="243">
      <c r="A243" t="inlineStr">
        <is>
          <t>HARBOR-OFFICE</t>
        </is>
      </c>
      <c r="B243" t="inlineStr">
        <is>
          <t>2026-09-25</t>
        </is>
      </c>
      <c r="C243" t="n">
        <v>4</v>
      </c>
      <c r="D243" t="n">
        <v>1</v>
      </c>
      <c r="E243" t="n">
        <v>5</v>
      </c>
      <c r="F243" t="n">
        <v>1043</v>
      </c>
      <c r="G243" t="n">
        <v>0</v>
      </c>
      <c r="H243" t="n">
        <v>0</v>
      </c>
      <c r="I243" t="n">
        <v>1039</v>
      </c>
      <c r="J243" t="n">
        <v>1039</v>
      </c>
      <c r="K243" t="n">
        <v>1039</v>
      </c>
      <c r="L243">
        <f>MIN(F243,J243)</f>
        <v/>
      </c>
      <c r="M243">
        <f>MIN(K243,MAX(0,F243-(J243-K243)))</f>
        <v/>
      </c>
    </row>
    <row r="244">
      <c r="A244" t="inlineStr">
        <is>
          <t>HARBOR-OFFICE</t>
        </is>
      </c>
      <c r="B244" t="inlineStr">
        <is>
          <t>2026-09-25</t>
        </is>
      </c>
      <c r="C244" t="n">
        <v>4</v>
      </c>
      <c r="D244" t="n">
        <v>2</v>
      </c>
      <c r="E244" t="n">
        <v>5</v>
      </c>
      <c r="F244" t="n">
        <v>1043</v>
      </c>
      <c r="G244" t="n">
        <v>0</v>
      </c>
      <c r="H244" t="n">
        <v>0</v>
      </c>
      <c r="I244" t="n">
        <v>1019</v>
      </c>
      <c r="J244" t="n">
        <v>1019</v>
      </c>
      <c r="K244" t="n">
        <v>1019</v>
      </c>
      <c r="L244">
        <f>MIN(F244,J244)</f>
        <v/>
      </c>
      <c r="M244">
        <f>MIN(K244,MAX(0,F244-(J244-K244)))</f>
        <v/>
      </c>
    </row>
    <row r="245">
      <c r="A245" t="inlineStr">
        <is>
          <t>HARBOR-OFFICE</t>
        </is>
      </c>
      <c r="B245" t="inlineStr">
        <is>
          <t>2026-09-25</t>
        </is>
      </c>
      <c r="C245" t="n">
        <v>4</v>
      </c>
      <c r="D245" t="n">
        <v>3</v>
      </c>
      <c r="E245" t="n">
        <v>5</v>
      </c>
      <c r="F245" t="n">
        <v>1043</v>
      </c>
      <c r="G245" t="n">
        <v>0</v>
      </c>
      <c r="H245" t="n">
        <v>0</v>
      </c>
      <c r="I245" t="n">
        <v>1036</v>
      </c>
      <c r="J245" t="n">
        <v>1036</v>
      </c>
      <c r="K245" t="n">
        <v>1036</v>
      </c>
      <c r="L245">
        <f>MIN(F245,J245)</f>
        <v/>
      </c>
      <c r="M245">
        <f>MIN(K245,MAX(0,F245-(J245-K245)))</f>
        <v/>
      </c>
    </row>
    <row r="246">
      <c r="A246" t="inlineStr">
        <is>
          <t>HARBOR-OFFICE</t>
        </is>
      </c>
      <c r="B246" t="inlineStr">
        <is>
          <t>2026-09-25</t>
        </is>
      </c>
      <c r="C246" t="n">
        <v>4</v>
      </c>
      <c r="D246" t="n">
        <v>4</v>
      </c>
      <c r="E246" t="n">
        <v>5</v>
      </c>
      <c r="F246" t="n">
        <v>1043</v>
      </c>
      <c r="G246" t="n">
        <v>0</v>
      </c>
      <c r="H246" t="n">
        <v>0</v>
      </c>
      <c r="I246" t="n">
        <v>844</v>
      </c>
      <c r="J246" t="n">
        <v>844</v>
      </c>
      <c r="K246" t="n">
        <v>844</v>
      </c>
      <c r="L246">
        <f>MIN(F246,J246)</f>
        <v/>
      </c>
      <c r="M246">
        <f>MIN(K246,MAX(0,F246-(J246-K246)))</f>
        <v/>
      </c>
    </row>
    <row r="247">
      <c r="A247" t="inlineStr">
        <is>
          <t>HARBOR-OFFICE</t>
        </is>
      </c>
      <c r="B247" t="inlineStr">
        <is>
          <t>2026-09-25</t>
        </is>
      </c>
      <c r="C247" t="n">
        <v>4</v>
      </c>
      <c r="D247" t="n">
        <v>5</v>
      </c>
      <c r="E247" t="n">
        <v>5</v>
      </c>
      <c r="F247" t="n">
        <v>1043</v>
      </c>
      <c r="G247" t="n">
        <v>4</v>
      </c>
      <c r="H247" t="n">
        <v>0</v>
      </c>
      <c r="I247" t="n">
        <v>763</v>
      </c>
      <c r="J247" t="n">
        <v>767</v>
      </c>
      <c r="K247" t="n">
        <v>763</v>
      </c>
      <c r="L247">
        <f>MIN(F247,J247)</f>
        <v/>
      </c>
      <c r="M247">
        <f>MIN(K247,MAX(0,F247-(J247-K247)))</f>
        <v/>
      </c>
    </row>
    <row r="248">
      <c r="A248" t="inlineStr">
        <is>
          <t>HARBOR-OFFICE</t>
        </is>
      </c>
      <c r="B248" t="inlineStr">
        <is>
          <t>2026-09-25</t>
        </is>
      </c>
      <c r="C248" t="n">
        <v>4</v>
      </c>
      <c r="D248" t="n">
        <v>6</v>
      </c>
      <c r="E248" t="n">
        <v>5</v>
      </c>
      <c r="F248" t="n">
        <v>1043</v>
      </c>
      <c r="G248" t="n">
        <v>177</v>
      </c>
      <c r="H248" t="n">
        <v>0</v>
      </c>
      <c r="I248" t="n">
        <v>767</v>
      </c>
      <c r="J248" t="n">
        <v>944</v>
      </c>
      <c r="K248" t="n">
        <v>767</v>
      </c>
      <c r="L248">
        <f>MIN(F248,J248)</f>
        <v/>
      </c>
      <c r="M248">
        <f>MIN(K248,MAX(0,F248-(J248-K248)))</f>
        <v/>
      </c>
    </row>
    <row r="249">
      <c r="A249" t="inlineStr">
        <is>
          <t>HARBOR-OFFICE</t>
        </is>
      </c>
      <c r="B249" t="inlineStr">
        <is>
          <t>2026-09-25</t>
        </is>
      </c>
      <c r="C249" t="n">
        <v>4</v>
      </c>
      <c r="D249" t="n">
        <v>7</v>
      </c>
      <c r="E249" t="n">
        <v>5</v>
      </c>
      <c r="F249" t="n">
        <v>1043</v>
      </c>
      <c r="G249" t="n">
        <v>1042</v>
      </c>
      <c r="H249" t="n">
        <v>0</v>
      </c>
      <c r="I249" t="n">
        <v>758</v>
      </c>
      <c r="J249" t="n">
        <v>1800</v>
      </c>
      <c r="K249" t="n">
        <v>758</v>
      </c>
      <c r="L249">
        <f>MIN(F249,J249)</f>
        <v/>
      </c>
      <c r="M249">
        <f>MIN(K249,MAX(0,F249-(J249-K249)))</f>
        <v/>
      </c>
    </row>
    <row r="250">
      <c r="A250" t="inlineStr">
        <is>
          <t>HARBOR-OFFICE</t>
        </is>
      </c>
      <c r="B250" t="inlineStr">
        <is>
          <t>2026-09-25</t>
        </is>
      </c>
      <c r="C250" t="n">
        <v>4</v>
      </c>
      <c r="D250" t="n">
        <v>8</v>
      </c>
      <c r="E250" t="n">
        <v>5</v>
      </c>
      <c r="F250" t="n">
        <v>5217</v>
      </c>
      <c r="G250" t="n">
        <v>2339</v>
      </c>
      <c r="H250" t="n">
        <v>0</v>
      </c>
      <c r="I250" t="n">
        <v>730</v>
      </c>
      <c r="J250" t="n">
        <v>3069</v>
      </c>
      <c r="K250" t="n">
        <v>730</v>
      </c>
      <c r="L250">
        <f>MIN(F250,J250)</f>
        <v/>
      </c>
      <c r="M250">
        <f>MIN(K250,MAX(0,F250-(J250-K250)))</f>
        <v/>
      </c>
    </row>
    <row r="251">
      <c r="A251" t="inlineStr">
        <is>
          <t>HARBOR-OFFICE</t>
        </is>
      </c>
      <c r="B251" t="inlineStr">
        <is>
          <t>2026-09-25</t>
        </is>
      </c>
      <c r="C251" t="n">
        <v>4</v>
      </c>
      <c r="D251" t="n">
        <v>9</v>
      </c>
      <c r="E251" t="n">
        <v>5</v>
      </c>
      <c r="F251" t="n">
        <v>5217</v>
      </c>
      <c r="G251" t="n">
        <v>3363</v>
      </c>
      <c r="H251" t="n">
        <v>0</v>
      </c>
      <c r="I251" t="n">
        <v>719</v>
      </c>
      <c r="J251" t="n">
        <v>4082</v>
      </c>
      <c r="K251" t="n">
        <v>719</v>
      </c>
      <c r="L251">
        <f>MIN(F251,J251)</f>
        <v/>
      </c>
      <c r="M251">
        <f>MIN(K251,MAX(0,F251-(J251-K251)))</f>
        <v/>
      </c>
    </row>
    <row r="252">
      <c r="A252" t="inlineStr">
        <is>
          <t>HARBOR-OFFICE</t>
        </is>
      </c>
      <c r="B252" t="inlineStr">
        <is>
          <t>2026-09-25</t>
        </is>
      </c>
      <c r="C252" t="n">
        <v>4</v>
      </c>
      <c r="D252" t="n">
        <v>10</v>
      </c>
      <c r="E252" t="n">
        <v>5</v>
      </c>
      <c r="F252" t="n">
        <v>5217</v>
      </c>
      <c r="G252" t="n">
        <v>3969</v>
      </c>
      <c r="H252" t="n">
        <v>0</v>
      </c>
      <c r="I252" t="n">
        <v>670</v>
      </c>
      <c r="J252" t="n">
        <v>4639</v>
      </c>
      <c r="K252" t="n">
        <v>670</v>
      </c>
      <c r="L252">
        <f>MIN(F252,J252)</f>
        <v/>
      </c>
      <c r="M252">
        <f>MIN(K252,MAX(0,F252-(J252-K252)))</f>
        <v/>
      </c>
    </row>
    <row r="253">
      <c r="A253" t="inlineStr">
        <is>
          <t>HARBOR-OFFICE</t>
        </is>
      </c>
      <c r="B253" t="inlineStr">
        <is>
          <t>2026-09-25</t>
        </is>
      </c>
      <c r="C253" t="n">
        <v>4</v>
      </c>
      <c r="D253" t="n">
        <v>11</v>
      </c>
      <c r="E253" t="n">
        <v>5</v>
      </c>
      <c r="F253" t="n">
        <v>5217</v>
      </c>
      <c r="G253" t="n">
        <v>4161</v>
      </c>
      <c r="H253" t="n">
        <v>0</v>
      </c>
      <c r="I253" t="n">
        <v>669</v>
      </c>
      <c r="J253" t="n">
        <v>4830</v>
      </c>
      <c r="K253" t="n">
        <v>669</v>
      </c>
      <c r="L253">
        <f>MIN(F253,J253)</f>
        <v/>
      </c>
      <c r="M253">
        <f>MIN(K253,MAX(0,F253-(J253-K253)))</f>
        <v/>
      </c>
    </row>
    <row r="254">
      <c r="A254" t="inlineStr">
        <is>
          <t>HARBOR-OFFICE</t>
        </is>
      </c>
      <c r="B254" t="inlineStr">
        <is>
          <t>2026-09-25</t>
        </is>
      </c>
      <c r="C254" t="n">
        <v>4</v>
      </c>
      <c r="D254" t="n">
        <v>12</v>
      </c>
      <c r="E254" t="n">
        <v>5</v>
      </c>
      <c r="F254" t="n">
        <v>5217</v>
      </c>
      <c r="G254" t="n">
        <v>4234</v>
      </c>
      <c r="H254" t="n">
        <v>0</v>
      </c>
      <c r="I254" t="n">
        <v>666</v>
      </c>
      <c r="J254" t="n">
        <v>4900</v>
      </c>
      <c r="K254" t="n">
        <v>666</v>
      </c>
      <c r="L254">
        <f>MIN(F254,J254)</f>
        <v/>
      </c>
      <c r="M254">
        <f>MIN(K254,MAX(0,F254-(J254-K254)))</f>
        <v/>
      </c>
    </row>
    <row r="255">
      <c r="A255" t="inlineStr">
        <is>
          <t>HARBOR-OFFICE</t>
        </is>
      </c>
      <c r="B255" t="inlineStr">
        <is>
          <t>2026-09-25</t>
        </is>
      </c>
      <c r="C255" t="n">
        <v>4</v>
      </c>
      <c r="D255" t="n">
        <v>13</v>
      </c>
      <c r="E255" t="n">
        <v>5</v>
      </c>
      <c r="F255" t="n">
        <v>5217</v>
      </c>
      <c r="G255" t="n">
        <v>4005</v>
      </c>
      <c r="H255" t="n">
        <v>0</v>
      </c>
      <c r="I255" t="n">
        <v>662</v>
      </c>
      <c r="J255" t="n">
        <v>4667</v>
      </c>
      <c r="K255" t="n">
        <v>662</v>
      </c>
      <c r="L255">
        <f>MIN(F255,J255)</f>
        <v/>
      </c>
      <c r="M255">
        <f>MIN(K255,MAX(0,F255-(J255-K255)))</f>
        <v/>
      </c>
    </row>
    <row r="256">
      <c r="A256" t="inlineStr">
        <is>
          <t>HARBOR-OFFICE</t>
        </is>
      </c>
      <c r="B256" t="inlineStr">
        <is>
          <t>2026-09-25</t>
        </is>
      </c>
      <c r="C256" t="n">
        <v>4</v>
      </c>
      <c r="D256" t="n">
        <v>14</v>
      </c>
      <c r="E256" t="n">
        <v>5</v>
      </c>
      <c r="F256" t="n">
        <v>5217</v>
      </c>
      <c r="G256" t="n">
        <v>3467</v>
      </c>
      <c r="H256" t="n">
        <v>0</v>
      </c>
      <c r="I256" t="n">
        <v>754</v>
      </c>
      <c r="J256" t="n">
        <v>4221</v>
      </c>
      <c r="K256" t="n">
        <v>754</v>
      </c>
      <c r="L256">
        <f>MIN(F256,J256)</f>
        <v/>
      </c>
      <c r="M256">
        <f>MIN(K256,MAX(0,F256-(J256-K256)))</f>
        <v/>
      </c>
    </row>
    <row r="257">
      <c r="A257" t="inlineStr">
        <is>
          <t>HARBOR-OFFICE</t>
        </is>
      </c>
      <c r="B257" t="inlineStr">
        <is>
          <t>2026-09-25</t>
        </is>
      </c>
      <c r="C257" t="n">
        <v>4</v>
      </c>
      <c r="D257" t="n">
        <v>15</v>
      </c>
      <c r="E257" t="n">
        <v>5</v>
      </c>
      <c r="F257" t="n">
        <v>5217</v>
      </c>
      <c r="G257" t="n">
        <v>2527</v>
      </c>
      <c r="H257" t="n">
        <v>0</v>
      </c>
      <c r="I257" t="n">
        <v>916</v>
      </c>
      <c r="J257" t="n">
        <v>3443</v>
      </c>
      <c r="K257" t="n">
        <v>916</v>
      </c>
      <c r="L257">
        <f>MIN(F257,J257)</f>
        <v/>
      </c>
      <c r="M257">
        <f>MIN(K257,MAX(0,F257-(J257-K257)))</f>
        <v/>
      </c>
    </row>
    <row r="258">
      <c r="A258" t="inlineStr">
        <is>
          <t>HARBOR-OFFICE</t>
        </is>
      </c>
      <c r="B258" t="inlineStr">
        <is>
          <t>2026-09-25</t>
        </is>
      </c>
      <c r="C258" t="n">
        <v>4</v>
      </c>
      <c r="D258" t="n">
        <v>16</v>
      </c>
      <c r="E258" t="n">
        <v>5</v>
      </c>
      <c r="F258" t="n">
        <v>5217</v>
      </c>
      <c r="G258" t="n">
        <v>1369</v>
      </c>
      <c r="H258" t="n">
        <v>0</v>
      </c>
      <c r="I258" t="n">
        <v>1310</v>
      </c>
      <c r="J258" t="n">
        <v>2679</v>
      </c>
      <c r="K258" t="n">
        <v>1310</v>
      </c>
      <c r="L258">
        <f>MIN(F258,J258)</f>
        <v/>
      </c>
      <c r="M258">
        <f>MIN(K258,MAX(0,F258-(J258-K258)))</f>
        <v/>
      </c>
    </row>
    <row r="259">
      <c r="A259" t="inlineStr">
        <is>
          <t>HARBOR-OFFICE</t>
        </is>
      </c>
      <c r="B259" t="inlineStr">
        <is>
          <t>2026-09-25</t>
        </is>
      </c>
      <c r="C259" t="n">
        <v>4</v>
      </c>
      <c r="D259" t="n">
        <v>17</v>
      </c>
      <c r="E259" t="n">
        <v>5</v>
      </c>
      <c r="F259" t="n">
        <v>5217</v>
      </c>
      <c r="G259" t="n">
        <v>334</v>
      </c>
      <c r="H259" t="n">
        <v>0</v>
      </c>
      <c r="I259" t="n">
        <v>1587</v>
      </c>
      <c r="J259" t="n">
        <v>1921</v>
      </c>
      <c r="K259" t="n">
        <v>1587</v>
      </c>
      <c r="L259">
        <f>MIN(F259,J259)</f>
        <v/>
      </c>
      <c r="M259">
        <f>MIN(K259,MAX(0,F259-(J259-K259)))</f>
        <v/>
      </c>
    </row>
    <row r="260">
      <c r="A260" t="inlineStr">
        <is>
          <t>HARBOR-OFFICE</t>
        </is>
      </c>
      <c r="B260" t="inlineStr">
        <is>
          <t>2026-09-25</t>
        </is>
      </c>
      <c r="C260" t="n">
        <v>4</v>
      </c>
      <c r="D260" t="n">
        <v>18</v>
      </c>
      <c r="E260" t="n">
        <v>5</v>
      </c>
      <c r="F260" t="n">
        <v>5217</v>
      </c>
      <c r="G260" t="n">
        <v>0</v>
      </c>
      <c r="H260" t="n">
        <v>0</v>
      </c>
      <c r="I260" t="n">
        <v>1492</v>
      </c>
      <c r="J260" t="n">
        <v>1492</v>
      </c>
      <c r="K260" t="n">
        <v>1492</v>
      </c>
      <c r="L260">
        <f>MIN(F260,J260)</f>
        <v/>
      </c>
      <c r="M260">
        <f>MIN(K260,MAX(0,F260-(J260-K260)))</f>
        <v/>
      </c>
    </row>
    <row r="261">
      <c r="A261" t="inlineStr">
        <is>
          <t>HARBOR-OFFICE</t>
        </is>
      </c>
      <c r="B261" t="inlineStr">
        <is>
          <t>2026-09-25</t>
        </is>
      </c>
      <c r="C261" t="n">
        <v>4</v>
      </c>
      <c r="D261" t="n">
        <v>19</v>
      </c>
      <c r="E261" t="n">
        <v>5</v>
      </c>
      <c r="F261" t="n">
        <v>1043</v>
      </c>
      <c r="G261" t="n">
        <v>0</v>
      </c>
      <c r="H261" t="n">
        <v>0</v>
      </c>
      <c r="I261" t="n">
        <v>1539</v>
      </c>
      <c r="J261" t="n">
        <v>1539</v>
      </c>
      <c r="K261" t="n">
        <v>1539</v>
      </c>
      <c r="L261">
        <f>MIN(F261,J261)</f>
        <v/>
      </c>
      <c r="M261">
        <f>MIN(K261,MAX(0,F261-(J261-K261)))</f>
        <v/>
      </c>
    </row>
    <row r="262">
      <c r="A262" t="inlineStr">
        <is>
          <t>HARBOR-OFFICE</t>
        </is>
      </c>
      <c r="B262" t="inlineStr">
        <is>
          <t>2026-09-25</t>
        </is>
      </c>
      <c r="C262" t="n">
        <v>4</v>
      </c>
      <c r="D262" t="n">
        <v>20</v>
      </c>
      <c r="E262" t="n">
        <v>5</v>
      </c>
      <c r="F262" t="n">
        <v>1043</v>
      </c>
      <c r="G262" t="n">
        <v>0</v>
      </c>
      <c r="H262" t="n">
        <v>0</v>
      </c>
      <c r="I262" t="n">
        <v>1500</v>
      </c>
      <c r="J262" t="n">
        <v>1500</v>
      </c>
      <c r="K262" t="n">
        <v>1500</v>
      </c>
      <c r="L262">
        <f>MIN(F262,J262)</f>
        <v/>
      </c>
      <c r="M262">
        <f>MIN(K262,MAX(0,F262-(J262-K262)))</f>
        <v/>
      </c>
    </row>
    <row r="263">
      <c r="A263" t="inlineStr">
        <is>
          <t>HARBOR-OFFICE</t>
        </is>
      </c>
      <c r="B263" t="inlineStr">
        <is>
          <t>2026-09-25</t>
        </is>
      </c>
      <c r="C263" t="n">
        <v>4</v>
      </c>
      <c r="D263" t="n">
        <v>21</v>
      </c>
      <c r="E263" t="n">
        <v>5</v>
      </c>
      <c r="F263" t="n">
        <v>1043</v>
      </c>
      <c r="G263" t="n">
        <v>0</v>
      </c>
      <c r="H263" t="n">
        <v>0</v>
      </c>
      <c r="I263" t="n">
        <v>1429</v>
      </c>
      <c r="J263" t="n">
        <v>1429</v>
      </c>
      <c r="K263" t="n">
        <v>1429</v>
      </c>
      <c r="L263">
        <f>MIN(F263,J263)</f>
        <v/>
      </c>
      <c r="M263">
        <f>MIN(K263,MAX(0,F263-(J263-K263)))</f>
        <v/>
      </c>
    </row>
    <row r="264">
      <c r="A264" t="inlineStr">
        <is>
          <t>HARBOR-OFFICE</t>
        </is>
      </c>
      <c r="B264" t="inlineStr">
        <is>
          <t>2026-09-25</t>
        </is>
      </c>
      <c r="C264" t="n">
        <v>4</v>
      </c>
      <c r="D264" t="n">
        <v>22</v>
      </c>
      <c r="E264" t="n">
        <v>5</v>
      </c>
      <c r="F264" t="n">
        <v>1043</v>
      </c>
      <c r="G264" t="n">
        <v>0</v>
      </c>
      <c r="H264" t="n">
        <v>0</v>
      </c>
      <c r="I264" t="n">
        <v>1244</v>
      </c>
      <c r="J264" t="n">
        <v>1244</v>
      </c>
      <c r="K264" t="n">
        <v>1244</v>
      </c>
      <c r="L264">
        <f>MIN(F264,J264)</f>
        <v/>
      </c>
      <c r="M264">
        <f>MIN(K264,MAX(0,F264-(J264-K264)))</f>
        <v/>
      </c>
    </row>
    <row r="265">
      <c r="A265" t="inlineStr">
        <is>
          <t>HARBOR-OFFICE</t>
        </is>
      </c>
      <c r="B265" t="inlineStr">
        <is>
          <t>2026-09-25</t>
        </is>
      </c>
      <c r="C265" t="n">
        <v>4</v>
      </c>
      <c r="D265" t="n">
        <v>23</v>
      </c>
      <c r="E265" t="n">
        <v>5</v>
      </c>
      <c r="F265" t="n">
        <v>1043</v>
      </c>
      <c r="G265" t="n">
        <v>0</v>
      </c>
      <c r="H265" t="n">
        <v>0</v>
      </c>
      <c r="I265" t="n">
        <v>1153</v>
      </c>
      <c r="J265" t="n">
        <v>1153</v>
      </c>
      <c r="K265" t="n">
        <v>1153</v>
      </c>
      <c r="L265">
        <f>MIN(F265,J265)</f>
        <v/>
      </c>
      <c r="M265">
        <f>MIN(K265,MAX(0,F265-(J265-K265)))</f>
        <v/>
      </c>
    </row>
    <row r="266">
      <c r="A266" t="inlineStr">
        <is>
          <t>HARBOR-OFFICE</t>
        </is>
      </c>
      <c r="B266" t="inlineStr">
        <is>
          <t>2026-09-26</t>
        </is>
      </c>
      <c r="C266" t="n">
        <v>5</v>
      </c>
      <c r="D266" t="n">
        <v>0</v>
      </c>
      <c r="E266" t="n">
        <v>6</v>
      </c>
      <c r="F266" t="n">
        <v>1043</v>
      </c>
      <c r="G266" t="n">
        <v>0</v>
      </c>
      <c r="H266" t="n">
        <v>0</v>
      </c>
      <c r="I266" t="n">
        <v>1028</v>
      </c>
      <c r="J266" t="n">
        <v>1028</v>
      </c>
      <c r="K266" t="n">
        <v>1028</v>
      </c>
      <c r="L266">
        <f>MIN(F266,J266)</f>
        <v/>
      </c>
      <c r="M266">
        <f>MIN(K266,MAX(0,F266-(J266-K266)))</f>
        <v/>
      </c>
    </row>
    <row r="267">
      <c r="A267" t="inlineStr">
        <is>
          <t>HARBOR-OFFICE</t>
        </is>
      </c>
      <c r="B267" t="inlineStr">
        <is>
          <t>2026-09-26</t>
        </is>
      </c>
      <c r="C267" t="n">
        <v>5</v>
      </c>
      <c r="D267" t="n">
        <v>1</v>
      </c>
      <c r="E267" t="n">
        <v>6</v>
      </c>
      <c r="F267" t="n">
        <v>1043</v>
      </c>
      <c r="G267" t="n">
        <v>0</v>
      </c>
      <c r="H267" t="n">
        <v>0</v>
      </c>
      <c r="I267" t="n">
        <v>962</v>
      </c>
      <c r="J267" t="n">
        <v>962</v>
      </c>
      <c r="K267" t="n">
        <v>962</v>
      </c>
      <c r="L267">
        <f>MIN(F267,J267)</f>
        <v/>
      </c>
      <c r="M267">
        <f>MIN(K267,MAX(0,F267-(J267-K267)))</f>
        <v/>
      </c>
    </row>
    <row r="268">
      <c r="A268" t="inlineStr">
        <is>
          <t>HARBOR-OFFICE</t>
        </is>
      </c>
      <c r="B268" t="inlineStr">
        <is>
          <t>2026-09-26</t>
        </is>
      </c>
      <c r="C268" t="n">
        <v>5</v>
      </c>
      <c r="D268" t="n">
        <v>2</v>
      </c>
      <c r="E268" t="n">
        <v>6</v>
      </c>
      <c r="F268" t="n">
        <v>1043</v>
      </c>
      <c r="G268" t="n">
        <v>0</v>
      </c>
      <c r="H268" t="n">
        <v>0</v>
      </c>
      <c r="I268" t="n">
        <v>985</v>
      </c>
      <c r="J268" t="n">
        <v>985</v>
      </c>
      <c r="K268" t="n">
        <v>985</v>
      </c>
      <c r="L268">
        <f>MIN(F268,J268)</f>
        <v/>
      </c>
      <c r="M268">
        <f>MIN(K268,MAX(0,F268-(J268-K268)))</f>
        <v/>
      </c>
    </row>
    <row r="269">
      <c r="A269" t="inlineStr">
        <is>
          <t>HARBOR-OFFICE</t>
        </is>
      </c>
      <c r="B269" t="inlineStr">
        <is>
          <t>2026-09-26</t>
        </is>
      </c>
      <c r="C269" t="n">
        <v>5</v>
      </c>
      <c r="D269" t="n">
        <v>3</v>
      </c>
      <c r="E269" t="n">
        <v>6</v>
      </c>
      <c r="F269" t="n">
        <v>1043</v>
      </c>
      <c r="G269" t="n">
        <v>0</v>
      </c>
      <c r="H269" t="n">
        <v>0</v>
      </c>
      <c r="I269" t="n">
        <v>989</v>
      </c>
      <c r="J269" t="n">
        <v>989</v>
      </c>
      <c r="K269" t="n">
        <v>989</v>
      </c>
      <c r="L269">
        <f>MIN(F269,J269)</f>
        <v/>
      </c>
      <c r="M269">
        <f>MIN(K269,MAX(0,F269-(J269-K269)))</f>
        <v/>
      </c>
    </row>
    <row r="270">
      <c r="A270" t="inlineStr">
        <is>
          <t>HARBOR-OFFICE</t>
        </is>
      </c>
      <c r="B270" t="inlineStr">
        <is>
          <t>2026-09-26</t>
        </is>
      </c>
      <c r="C270" t="n">
        <v>5</v>
      </c>
      <c r="D270" t="n">
        <v>4</v>
      </c>
      <c r="E270" t="n">
        <v>6</v>
      </c>
      <c r="F270" t="n">
        <v>1043</v>
      </c>
      <c r="G270" t="n">
        <v>0</v>
      </c>
      <c r="H270" t="n">
        <v>0</v>
      </c>
      <c r="I270" t="n">
        <v>745</v>
      </c>
      <c r="J270" t="n">
        <v>745</v>
      </c>
      <c r="K270" t="n">
        <v>745</v>
      </c>
      <c r="L270">
        <f>MIN(F270,J270)</f>
        <v/>
      </c>
      <c r="M270">
        <f>MIN(K270,MAX(0,F270-(J270-K270)))</f>
        <v/>
      </c>
    </row>
    <row r="271">
      <c r="A271" t="inlineStr">
        <is>
          <t>HARBOR-OFFICE</t>
        </is>
      </c>
      <c r="B271" t="inlineStr">
        <is>
          <t>2026-09-26</t>
        </is>
      </c>
      <c r="C271" t="n">
        <v>5</v>
      </c>
      <c r="D271" t="n">
        <v>5</v>
      </c>
      <c r="E271" t="n">
        <v>6</v>
      </c>
      <c r="F271" t="n">
        <v>1043</v>
      </c>
      <c r="G271" t="n">
        <v>3</v>
      </c>
      <c r="H271" t="n">
        <v>0</v>
      </c>
      <c r="I271" t="n">
        <v>705</v>
      </c>
      <c r="J271" t="n">
        <v>708</v>
      </c>
      <c r="K271" t="n">
        <v>705</v>
      </c>
      <c r="L271">
        <f>MIN(F271,J271)</f>
        <v/>
      </c>
      <c r="M271">
        <f>MIN(K271,MAX(0,F271-(J271-K271)))</f>
        <v/>
      </c>
    </row>
    <row r="272">
      <c r="A272" t="inlineStr">
        <is>
          <t>HARBOR-OFFICE</t>
        </is>
      </c>
      <c r="B272" t="inlineStr">
        <is>
          <t>2026-09-26</t>
        </is>
      </c>
      <c r="C272" t="n">
        <v>5</v>
      </c>
      <c r="D272" t="n">
        <v>6</v>
      </c>
      <c r="E272" t="n">
        <v>6</v>
      </c>
      <c r="F272" t="n">
        <v>1043</v>
      </c>
      <c r="G272" t="n">
        <v>162</v>
      </c>
      <c r="H272" t="n">
        <v>0</v>
      </c>
      <c r="I272" t="n">
        <v>704</v>
      </c>
      <c r="J272" t="n">
        <v>866</v>
      </c>
      <c r="K272" t="n">
        <v>704</v>
      </c>
      <c r="L272">
        <f>MIN(F272,J272)</f>
        <v/>
      </c>
      <c r="M272">
        <f>MIN(K272,MAX(0,F272-(J272-K272)))</f>
        <v/>
      </c>
    </row>
    <row r="273">
      <c r="A273" t="inlineStr">
        <is>
          <t>HARBOR-OFFICE</t>
        </is>
      </c>
      <c r="B273" t="inlineStr">
        <is>
          <t>2026-09-26</t>
        </is>
      </c>
      <c r="C273" t="n">
        <v>5</v>
      </c>
      <c r="D273" t="n">
        <v>7</v>
      </c>
      <c r="E273" t="n">
        <v>6</v>
      </c>
      <c r="F273" t="n">
        <v>1043</v>
      </c>
      <c r="G273" t="n">
        <v>1132</v>
      </c>
      <c r="H273" t="n">
        <v>0</v>
      </c>
      <c r="I273" t="n">
        <v>704</v>
      </c>
      <c r="J273" t="n">
        <v>1836</v>
      </c>
      <c r="K273" t="n">
        <v>704</v>
      </c>
      <c r="L273">
        <f>MIN(F273,J273)</f>
        <v/>
      </c>
      <c r="M273">
        <f>MIN(K273,MAX(0,F273-(J273-K273)))</f>
        <v/>
      </c>
    </row>
    <row r="274">
      <c r="A274" t="inlineStr">
        <is>
          <t>HARBOR-OFFICE</t>
        </is>
      </c>
      <c r="B274" t="inlineStr">
        <is>
          <t>2026-09-26</t>
        </is>
      </c>
      <c r="C274" t="n">
        <v>5</v>
      </c>
      <c r="D274" t="n">
        <v>8</v>
      </c>
      <c r="E274" t="n">
        <v>6</v>
      </c>
      <c r="F274" t="n">
        <v>1043</v>
      </c>
      <c r="G274" t="n">
        <v>2204</v>
      </c>
      <c r="H274" t="n">
        <v>0</v>
      </c>
      <c r="I274" t="n">
        <v>655</v>
      </c>
      <c r="J274" t="n">
        <v>2859</v>
      </c>
      <c r="K274" t="n">
        <v>655</v>
      </c>
      <c r="L274">
        <f>MIN(F274,J274)</f>
        <v/>
      </c>
      <c r="M274">
        <f>MIN(K274,MAX(0,F274-(J274-K274)))</f>
        <v/>
      </c>
    </row>
    <row r="275">
      <c r="A275" t="inlineStr">
        <is>
          <t>HARBOR-OFFICE</t>
        </is>
      </c>
      <c r="B275" t="inlineStr">
        <is>
          <t>2026-09-26</t>
        </is>
      </c>
      <c r="C275" t="n">
        <v>5</v>
      </c>
      <c r="D275" t="n">
        <v>9</v>
      </c>
      <c r="E275" t="n">
        <v>6</v>
      </c>
      <c r="F275" t="n">
        <v>1043</v>
      </c>
      <c r="G275" t="n">
        <v>3144</v>
      </c>
      <c r="H275" t="n">
        <v>0</v>
      </c>
      <c r="I275" t="n">
        <v>727</v>
      </c>
      <c r="J275" t="n">
        <v>3871</v>
      </c>
      <c r="K275" t="n">
        <v>727</v>
      </c>
      <c r="L275">
        <f>MIN(F275,J275)</f>
        <v/>
      </c>
      <c r="M275">
        <f>MIN(K275,MAX(0,F275-(J275-K275)))</f>
        <v/>
      </c>
    </row>
    <row r="276">
      <c r="A276" t="inlineStr">
        <is>
          <t>HARBOR-OFFICE</t>
        </is>
      </c>
      <c r="B276" t="inlineStr">
        <is>
          <t>2026-09-26</t>
        </is>
      </c>
      <c r="C276" t="n">
        <v>5</v>
      </c>
      <c r="D276" t="n">
        <v>10</v>
      </c>
      <c r="E276" t="n">
        <v>6</v>
      </c>
      <c r="F276" t="n">
        <v>1043</v>
      </c>
      <c r="G276" t="n">
        <v>3884</v>
      </c>
      <c r="H276" t="n">
        <v>0</v>
      </c>
      <c r="I276" t="n">
        <v>769</v>
      </c>
      <c r="J276" t="n">
        <v>4653</v>
      </c>
      <c r="K276" t="n">
        <v>769</v>
      </c>
      <c r="L276">
        <f>MIN(F276,J276)</f>
        <v/>
      </c>
      <c r="M276">
        <f>MIN(K276,MAX(0,F276-(J276-K276)))</f>
        <v/>
      </c>
    </row>
    <row r="277">
      <c r="A277" t="inlineStr">
        <is>
          <t>HARBOR-OFFICE</t>
        </is>
      </c>
      <c r="B277" t="inlineStr">
        <is>
          <t>2026-09-26</t>
        </is>
      </c>
      <c r="C277" t="n">
        <v>5</v>
      </c>
      <c r="D277" t="n">
        <v>11</v>
      </c>
      <c r="E277" t="n">
        <v>6</v>
      </c>
      <c r="F277" t="n">
        <v>1043</v>
      </c>
      <c r="G277" t="n">
        <v>4224</v>
      </c>
      <c r="H277" t="n">
        <v>0</v>
      </c>
      <c r="I277" t="n">
        <v>773</v>
      </c>
      <c r="J277" t="n">
        <v>4997</v>
      </c>
      <c r="K277" t="n">
        <v>773</v>
      </c>
      <c r="L277">
        <f>MIN(F277,J277)</f>
        <v/>
      </c>
      <c r="M277">
        <f>MIN(K277,MAX(0,F277-(J277-K277)))</f>
        <v/>
      </c>
    </row>
    <row r="278">
      <c r="A278" t="inlineStr">
        <is>
          <t>HARBOR-OFFICE</t>
        </is>
      </c>
      <c r="B278" t="inlineStr">
        <is>
          <t>2026-09-26</t>
        </is>
      </c>
      <c r="C278" t="n">
        <v>5</v>
      </c>
      <c r="D278" t="n">
        <v>12</v>
      </c>
      <c r="E278" t="n">
        <v>6</v>
      </c>
      <c r="F278" t="n">
        <v>1043</v>
      </c>
      <c r="G278" t="n">
        <v>4328</v>
      </c>
      <c r="H278" t="n">
        <v>0</v>
      </c>
      <c r="I278" t="n">
        <v>780</v>
      </c>
      <c r="J278" t="n">
        <v>5108</v>
      </c>
      <c r="K278" t="n">
        <v>780</v>
      </c>
      <c r="L278">
        <f>MIN(F278,J278)</f>
        <v/>
      </c>
      <c r="M278">
        <f>MIN(K278,MAX(0,F278-(J278-K278)))</f>
        <v/>
      </c>
    </row>
    <row r="279">
      <c r="A279" t="inlineStr">
        <is>
          <t>HARBOR-OFFICE</t>
        </is>
      </c>
      <c r="B279" t="inlineStr">
        <is>
          <t>2026-09-26</t>
        </is>
      </c>
      <c r="C279" t="n">
        <v>5</v>
      </c>
      <c r="D279" t="n">
        <v>13</v>
      </c>
      <c r="E279" t="n">
        <v>6</v>
      </c>
      <c r="F279" t="n">
        <v>1043</v>
      </c>
      <c r="G279" t="n">
        <v>4146</v>
      </c>
      <c r="H279" t="n">
        <v>0</v>
      </c>
      <c r="I279" t="n">
        <v>792</v>
      </c>
      <c r="J279" t="n">
        <v>4938</v>
      </c>
      <c r="K279" t="n">
        <v>792</v>
      </c>
      <c r="L279">
        <f>MIN(F279,J279)</f>
        <v/>
      </c>
      <c r="M279">
        <f>MIN(K279,MAX(0,F279-(J279-K279)))</f>
        <v/>
      </c>
    </row>
    <row r="280">
      <c r="A280" t="inlineStr">
        <is>
          <t>HARBOR-OFFICE</t>
        </is>
      </c>
      <c r="B280" t="inlineStr">
        <is>
          <t>2026-09-26</t>
        </is>
      </c>
      <c r="C280" t="n">
        <v>5</v>
      </c>
      <c r="D280" t="n">
        <v>14</v>
      </c>
      <c r="E280" t="n">
        <v>6</v>
      </c>
      <c r="F280" t="n">
        <v>1043</v>
      </c>
      <c r="G280" t="n">
        <v>3666</v>
      </c>
      <c r="H280" t="n">
        <v>0</v>
      </c>
      <c r="I280" t="n">
        <v>888</v>
      </c>
      <c r="J280" t="n">
        <v>4554</v>
      </c>
      <c r="K280" t="n">
        <v>888</v>
      </c>
      <c r="L280">
        <f>MIN(F280,J280)</f>
        <v/>
      </c>
      <c r="M280">
        <f>MIN(K280,MAX(0,F280-(J280-K280)))</f>
        <v/>
      </c>
    </row>
    <row r="281">
      <c r="A281" t="inlineStr">
        <is>
          <t>HARBOR-OFFICE</t>
        </is>
      </c>
      <c r="B281" t="inlineStr">
        <is>
          <t>2026-09-26</t>
        </is>
      </c>
      <c r="C281" t="n">
        <v>5</v>
      </c>
      <c r="D281" t="n">
        <v>15</v>
      </c>
      <c r="E281" t="n">
        <v>6</v>
      </c>
      <c r="F281" t="n">
        <v>1043</v>
      </c>
      <c r="G281" t="n">
        <v>2703</v>
      </c>
      <c r="H281" t="n">
        <v>0</v>
      </c>
      <c r="I281" t="n">
        <v>1036</v>
      </c>
      <c r="J281" t="n">
        <v>3739</v>
      </c>
      <c r="K281" t="n">
        <v>1036</v>
      </c>
      <c r="L281">
        <f>MIN(F281,J281)</f>
        <v/>
      </c>
      <c r="M281">
        <f>MIN(K281,MAX(0,F281-(J281-K281)))</f>
        <v/>
      </c>
    </row>
    <row r="282">
      <c r="A282" t="inlineStr">
        <is>
          <t>HARBOR-OFFICE</t>
        </is>
      </c>
      <c r="B282" t="inlineStr">
        <is>
          <t>2026-09-26</t>
        </is>
      </c>
      <c r="C282" t="n">
        <v>5</v>
      </c>
      <c r="D282" t="n">
        <v>16</v>
      </c>
      <c r="E282" t="n">
        <v>6</v>
      </c>
      <c r="F282" t="n">
        <v>1043</v>
      </c>
      <c r="G282" t="n">
        <v>1496</v>
      </c>
      <c r="H282" t="n">
        <v>0</v>
      </c>
      <c r="I282" t="n">
        <v>1450</v>
      </c>
      <c r="J282" t="n">
        <v>2946</v>
      </c>
      <c r="K282" t="n">
        <v>1450</v>
      </c>
      <c r="L282">
        <f>MIN(F282,J282)</f>
        <v/>
      </c>
      <c r="M282">
        <f>MIN(K282,MAX(0,F282-(J282-K282)))</f>
        <v/>
      </c>
    </row>
    <row r="283">
      <c r="A283" t="inlineStr">
        <is>
          <t>HARBOR-OFFICE</t>
        </is>
      </c>
      <c r="B283" t="inlineStr">
        <is>
          <t>2026-09-26</t>
        </is>
      </c>
      <c r="C283" t="n">
        <v>5</v>
      </c>
      <c r="D283" t="n">
        <v>17</v>
      </c>
      <c r="E283" t="n">
        <v>6</v>
      </c>
      <c r="F283" t="n">
        <v>1043</v>
      </c>
      <c r="G283" t="n">
        <v>346</v>
      </c>
      <c r="H283" t="n">
        <v>0</v>
      </c>
      <c r="I283" t="n">
        <v>1816</v>
      </c>
      <c r="J283" t="n">
        <v>2162</v>
      </c>
      <c r="K283" t="n">
        <v>1816</v>
      </c>
      <c r="L283">
        <f>MIN(F283,J283)</f>
        <v/>
      </c>
      <c r="M283">
        <f>MIN(K283,MAX(0,F283-(J283-K283)))</f>
        <v/>
      </c>
    </row>
    <row r="284">
      <c r="A284" t="inlineStr">
        <is>
          <t>HARBOR-OFFICE</t>
        </is>
      </c>
      <c r="B284" t="inlineStr">
        <is>
          <t>2026-09-26</t>
        </is>
      </c>
      <c r="C284" t="n">
        <v>5</v>
      </c>
      <c r="D284" t="n">
        <v>18</v>
      </c>
      <c r="E284" t="n">
        <v>6</v>
      </c>
      <c r="F284" t="n">
        <v>1043</v>
      </c>
      <c r="G284" t="n">
        <v>0</v>
      </c>
      <c r="H284" t="n">
        <v>0</v>
      </c>
      <c r="I284" t="n">
        <v>1766</v>
      </c>
      <c r="J284" t="n">
        <v>1766</v>
      </c>
      <c r="K284" t="n">
        <v>1766</v>
      </c>
      <c r="L284">
        <f>MIN(F284,J284)</f>
        <v/>
      </c>
      <c r="M284">
        <f>MIN(K284,MAX(0,F284-(J284-K284)))</f>
        <v/>
      </c>
    </row>
    <row r="285">
      <c r="A285" t="inlineStr">
        <is>
          <t>HARBOR-OFFICE</t>
        </is>
      </c>
      <c r="B285" t="inlineStr">
        <is>
          <t>2026-09-26</t>
        </is>
      </c>
      <c r="C285" t="n">
        <v>5</v>
      </c>
      <c r="D285" t="n">
        <v>19</v>
      </c>
      <c r="E285" t="n">
        <v>6</v>
      </c>
      <c r="F285" t="n">
        <v>1043</v>
      </c>
      <c r="G285" t="n">
        <v>0</v>
      </c>
      <c r="H285" t="n">
        <v>0</v>
      </c>
      <c r="I285" t="n">
        <v>1804</v>
      </c>
      <c r="J285" t="n">
        <v>1804</v>
      </c>
      <c r="K285" t="n">
        <v>1804</v>
      </c>
      <c r="L285">
        <f>MIN(F285,J285)</f>
        <v/>
      </c>
      <c r="M285">
        <f>MIN(K285,MAX(0,F285-(J285-K285)))</f>
        <v/>
      </c>
    </row>
    <row r="286">
      <c r="A286" t="inlineStr">
        <is>
          <t>HARBOR-OFFICE</t>
        </is>
      </c>
      <c r="B286" t="inlineStr">
        <is>
          <t>2026-09-26</t>
        </is>
      </c>
      <c r="C286" t="n">
        <v>5</v>
      </c>
      <c r="D286" t="n">
        <v>20</v>
      </c>
      <c r="E286" t="n">
        <v>6</v>
      </c>
      <c r="F286" t="n">
        <v>1043</v>
      </c>
      <c r="G286" t="n">
        <v>0</v>
      </c>
      <c r="H286" t="n">
        <v>0</v>
      </c>
      <c r="I286" t="n">
        <v>1589</v>
      </c>
      <c r="J286" t="n">
        <v>1589</v>
      </c>
      <c r="K286" t="n">
        <v>1589</v>
      </c>
      <c r="L286">
        <f>MIN(F286,J286)</f>
        <v/>
      </c>
      <c r="M286">
        <f>MIN(K286,MAX(0,F286-(J286-K286)))</f>
        <v/>
      </c>
    </row>
    <row r="287">
      <c r="A287" t="inlineStr">
        <is>
          <t>HARBOR-OFFICE</t>
        </is>
      </c>
      <c r="B287" t="inlineStr">
        <is>
          <t>2026-09-26</t>
        </is>
      </c>
      <c r="C287" t="n">
        <v>5</v>
      </c>
      <c r="D287" t="n">
        <v>21</v>
      </c>
      <c r="E287" t="n">
        <v>6</v>
      </c>
      <c r="F287" t="n">
        <v>1043</v>
      </c>
      <c r="G287" t="n">
        <v>0</v>
      </c>
      <c r="H287" t="n">
        <v>0</v>
      </c>
      <c r="I287" t="n">
        <v>1275</v>
      </c>
      <c r="J287" t="n">
        <v>1275</v>
      </c>
      <c r="K287" t="n">
        <v>1275</v>
      </c>
      <c r="L287">
        <f>MIN(F287,J287)</f>
        <v/>
      </c>
      <c r="M287">
        <f>MIN(K287,MAX(0,F287-(J287-K287)))</f>
        <v/>
      </c>
    </row>
    <row r="288">
      <c r="A288" t="inlineStr">
        <is>
          <t>HARBOR-OFFICE</t>
        </is>
      </c>
      <c r="B288" t="inlineStr">
        <is>
          <t>2026-09-26</t>
        </is>
      </c>
      <c r="C288" t="n">
        <v>5</v>
      </c>
      <c r="D288" t="n">
        <v>22</v>
      </c>
      <c r="E288" t="n">
        <v>6</v>
      </c>
      <c r="F288" t="n">
        <v>1043</v>
      </c>
      <c r="G288" t="n">
        <v>0</v>
      </c>
      <c r="H288" t="n">
        <v>0</v>
      </c>
      <c r="I288" t="n">
        <v>904</v>
      </c>
      <c r="J288" t="n">
        <v>904</v>
      </c>
      <c r="K288" t="n">
        <v>904</v>
      </c>
      <c r="L288">
        <f>MIN(F288,J288)</f>
        <v/>
      </c>
      <c r="M288">
        <f>MIN(K288,MAX(0,F288-(J288-K288)))</f>
        <v/>
      </c>
    </row>
    <row r="289">
      <c r="A289" t="inlineStr">
        <is>
          <t>HARBOR-OFFICE</t>
        </is>
      </c>
      <c r="B289" t="inlineStr">
        <is>
          <t>2026-09-26</t>
        </is>
      </c>
      <c r="C289" t="n">
        <v>5</v>
      </c>
      <c r="D289" t="n">
        <v>23</v>
      </c>
      <c r="E289" t="n">
        <v>6</v>
      </c>
      <c r="F289" t="n">
        <v>1043</v>
      </c>
      <c r="G289" t="n">
        <v>0</v>
      </c>
      <c r="H289" t="n">
        <v>0</v>
      </c>
      <c r="I289" t="n">
        <v>855</v>
      </c>
      <c r="J289" t="n">
        <v>855</v>
      </c>
      <c r="K289" t="n">
        <v>855</v>
      </c>
      <c r="L289">
        <f>MIN(F289,J289)</f>
        <v/>
      </c>
      <c r="M289">
        <f>MIN(K289,MAX(0,F289-(J289-K289)))</f>
        <v/>
      </c>
    </row>
    <row r="290">
      <c r="A290" t="inlineStr">
        <is>
          <t>HARBOR-OFFICE</t>
        </is>
      </c>
      <c r="B290" t="inlineStr">
        <is>
          <t>2026-09-27</t>
        </is>
      </c>
      <c r="C290" t="n">
        <v>6</v>
      </c>
      <c r="D290" t="n">
        <v>0</v>
      </c>
      <c r="E290" t="n">
        <v>7</v>
      </c>
      <c r="F290" t="n">
        <v>1043</v>
      </c>
      <c r="G290" t="n">
        <v>0</v>
      </c>
      <c r="H290" t="n">
        <v>0</v>
      </c>
      <c r="I290" t="n">
        <v>835</v>
      </c>
      <c r="J290" t="n">
        <v>835</v>
      </c>
      <c r="K290" t="n">
        <v>835</v>
      </c>
      <c r="L290">
        <f>MIN(F290,J290)</f>
        <v/>
      </c>
      <c r="M290">
        <f>MIN(K290,MAX(0,F290-(J290-K290)))</f>
        <v/>
      </c>
    </row>
    <row r="291">
      <c r="A291" t="inlineStr">
        <is>
          <t>HARBOR-OFFICE</t>
        </is>
      </c>
      <c r="B291" t="inlineStr">
        <is>
          <t>2026-09-27</t>
        </is>
      </c>
      <c r="C291" t="n">
        <v>6</v>
      </c>
      <c r="D291" t="n">
        <v>1</v>
      </c>
      <c r="E291" t="n">
        <v>7</v>
      </c>
      <c r="F291" t="n">
        <v>1043</v>
      </c>
      <c r="G291" t="n">
        <v>0</v>
      </c>
      <c r="H291" t="n">
        <v>0</v>
      </c>
      <c r="I291" t="n">
        <v>795</v>
      </c>
      <c r="J291" t="n">
        <v>795</v>
      </c>
      <c r="K291" t="n">
        <v>795</v>
      </c>
      <c r="L291">
        <f>MIN(F291,J291)</f>
        <v/>
      </c>
      <c r="M291">
        <f>MIN(K291,MAX(0,F291-(J291-K291)))</f>
        <v/>
      </c>
    </row>
    <row r="292">
      <c r="A292" t="inlineStr">
        <is>
          <t>HARBOR-OFFICE</t>
        </is>
      </c>
      <c r="B292" t="inlineStr">
        <is>
          <t>2026-09-27</t>
        </is>
      </c>
      <c r="C292" t="n">
        <v>6</v>
      </c>
      <c r="D292" t="n">
        <v>2</v>
      </c>
      <c r="E292" t="n">
        <v>7</v>
      </c>
      <c r="F292" t="n">
        <v>1043</v>
      </c>
      <c r="G292" t="n">
        <v>0</v>
      </c>
      <c r="H292" t="n">
        <v>0</v>
      </c>
      <c r="I292" t="n">
        <v>793</v>
      </c>
      <c r="J292" t="n">
        <v>793</v>
      </c>
      <c r="K292" t="n">
        <v>793</v>
      </c>
      <c r="L292">
        <f>MIN(F292,J292)</f>
        <v/>
      </c>
      <c r="M292">
        <f>MIN(K292,MAX(0,F292-(J292-K292)))</f>
        <v/>
      </c>
    </row>
    <row r="293">
      <c r="A293" t="inlineStr">
        <is>
          <t>HARBOR-OFFICE</t>
        </is>
      </c>
      <c r="B293" t="inlineStr">
        <is>
          <t>2026-09-27</t>
        </is>
      </c>
      <c r="C293" t="n">
        <v>6</v>
      </c>
      <c r="D293" t="n">
        <v>3</v>
      </c>
      <c r="E293" t="n">
        <v>7</v>
      </c>
      <c r="F293" t="n">
        <v>1043</v>
      </c>
      <c r="G293" t="n">
        <v>0</v>
      </c>
      <c r="H293" t="n">
        <v>0</v>
      </c>
      <c r="I293" t="n">
        <v>795</v>
      </c>
      <c r="J293" t="n">
        <v>795</v>
      </c>
      <c r="K293" t="n">
        <v>795</v>
      </c>
      <c r="L293">
        <f>MIN(F293,J293)</f>
        <v/>
      </c>
      <c r="M293">
        <f>MIN(K293,MAX(0,F293-(J293-K293)))</f>
        <v/>
      </c>
    </row>
    <row r="294">
      <c r="A294" t="inlineStr">
        <is>
          <t>HARBOR-OFFICE</t>
        </is>
      </c>
      <c r="B294" t="inlineStr">
        <is>
          <t>2026-09-27</t>
        </is>
      </c>
      <c r="C294" t="n">
        <v>6</v>
      </c>
      <c r="D294" t="n">
        <v>4</v>
      </c>
      <c r="E294" t="n">
        <v>7</v>
      </c>
      <c r="F294" t="n">
        <v>1043</v>
      </c>
      <c r="G294" t="n">
        <v>0</v>
      </c>
      <c r="H294" t="n">
        <v>0</v>
      </c>
      <c r="I294" t="n">
        <v>795</v>
      </c>
      <c r="J294" t="n">
        <v>795</v>
      </c>
      <c r="K294" t="n">
        <v>795</v>
      </c>
      <c r="L294">
        <f>MIN(F294,J294)</f>
        <v/>
      </c>
      <c r="M294">
        <f>MIN(K294,MAX(0,F294-(J294-K294)))</f>
        <v/>
      </c>
    </row>
    <row r="295">
      <c r="A295" t="inlineStr">
        <is>
          <t>HARBOR-OFFICE</t>
        </is>
      </c>
      <c r="B295" t="inlineStr">
        <is>
          <t>2026-09-27</t>
        </is>
      </c>
      <c r="C295" t="n">
        <v>6</v>
      </c>
      <c r="D295" t="n">
        <v>5</v>
      </c>
      <c r="E295" t="n">
        <v>7</v>
      </c>
      <c r="F295" t="n">
        <v>1043</v>
      </c>
      <c r="G295" t="n">
        <v>3</v>
      </c>
      <c r="H295" t="n">
        <v>0</v>
      </c>
      <c r="I295" t="n">
        <v>795</v>
      </c>
      <c r="J295" t="n">
        <v>798</v>
      </c>
      <c r="K295" t="n">
        <v>795</v>
      </c>
      <c r="L295">
        <f>MIN(F295,J295)</f>
        <v/>
      </c>
      <c r="M295">
        <f>MIN(K295,MAX(0,F295-(J295-K295)))</f>
        <v/>
      </c>
    </row>
    <row r="296">
      <c r="A296" t="inlineStr">
        <is>
          <t>HARBOR-OFFICE</t>
        </is>
      </c>
      <c r="B296" t="inlineStr">
        <is>
          <t>2026-09-27</t>
        </is>
      </c>
      <c r="C296" t="n">
        <v>6</v>
      </c>
      <c r="D296" t="n">
        <v>6</v>
      </c>
      <c r="E296" t="n">
        <v>7</v>
      </c>
      <c r="F296" t="n">
        <v>1043</v>
      </c>
      <c r="G296" t="n">
        <v>186</v>
      </c>
      <c r="H296" t="n">
        <v>0</v>
      </c>
      <c r="I296" t="n">
        <v>792</v>
      </c>
      <c r="J296" t="n">
        <v>978</v>
      </c>
      <c r="K296" t="n">
        <v>792</v>
      </c>
      <c r="L296">
        <f>MIN(F296,J296)</f>
        <v/>
      </c>
      <c r="M296">
        <f>MIN(K296,MAX(0,F296-(J296-K296)))</f>
        <v/>
      </c>
    </row>
    <row r="297">
      <c r="A297" t="inlineStr">
        <is>
          <t>HARBOR-OFFICE</t>
        </is>
      </c>
      <c r="B297" t="inlineStr">
        <is>
          <t>2026-09-27</t>
        </is>
      </c>
      <c r="C297" t="n">
        <v>6</v>
      </c>
      <c r="D297" t="n">
        <v>7</v>
      </c>
      <c r="E297" t="n">
        <v>7</v>
      </c>
      <c r="F297" t="n">
        <v>1043</v>
      </c>
      <c r="G297" t="n">
        <v>1187</v>
      </c>
      <c r="H297" t="n">
        <v>0</v>
      </c>
      <c r="I297" t="n">
        <v>773</v>
      </c>
      <c r="J297" t="n">
        <v>1960</v>
      </c>
      <c r="K297" t="n">
        <v>773</v>
      </c>
      <c r="L297">
        <f>MIN(F297,J297)</f>
        <v/>
      </c>
      <c r="M297">
        <f>MIN(K297,MAX(0,F297-(J297-K297)))</f>
        <v/>
      </c>
    </row>
    <row r="298">
      <c r="A298" t="inlineStr">
        <is>
          <t>HARBOR-OFFICE</t>
        </is>
      </c>
      <c r="B298" t="inlineStr">
        <is>
          <t>2026-09-27</t>
        </is>
      </c>
      <c r="C298" t="n">
        <v>6</v>
      </c>
      <c r="D298" t="n">
        <v>8</v>
      </c>
      <c r="E298" t="n">
        <v>7</v>
      </c>
      <c r="F298" t="n">
        <v>1043</v>
      </c>
      <c r="G298" t="n">
        <v>2509</v>
      </c>
      <c r="H298" t="n">
        <v>0</v>
      </c>
      <c r="I298" t="n">
        <v>702</v>
      </c>
      <c r="J298" t="n">
        <v>3211</v>
      </c>
      <c r="K298" t="n">
        <v>702</v>
      </c>
      <c r="L298">
        <f>MIN(F298,J298)</f>
        <v/>
      </c>
      <c r="M298">
        <f>MIN(K298,MAX(0,F298-(J298-K298)))</f>
        <v/>
      </c>
    </row>
    <row r="299">
      <c r="A299" t="inlineStr">
        <is>
          <t>HARBOR-OFFICE</t>
        </is>
      </c>
      <c r="B299" t="inlineStr">
        <is>
          <t>2026-09-27</t>
        </is>
      </c>
      <c r="C299" t="n">
        <v>6</v>
      </c>
      <c r="D299" t="n">
        <v>9</v>
      </c>
      <c r="E299" t="n">
        <v>7</v>
      </c>
      <c r="F299" t="n">
        <v>1043</v>
      </c>
      <c r="G299" t="n">
        <v>3486</v>
      </c>
      <c r="H299" t="n">
        <v>0</v>
      </c>
      <c r="I299" t="n">
        <v>637</v>
      </c>
      <c r="J299" t="n">
        <v>4123</v>
      </c>
      <c r="K299" t="n">
        <v>637</v>
      </c>
      <c r="L299">
        <f>MIN(F299,J299)</f>
        <v/>
      </c>
      <c r="M299">
        <f>MIN(K299,MAX(0,F299-(J299-K299)))</f>
        <v/>
      </c>
    </row>
    <row r="300">
      <c r="A300" t="inlineStr">
        <is>
          <t>HARBOR-OFFICE</t>
        </is>
      </c>
      <c r="B300" t="inlineStr">
        <is>
          <t>2026-09-27</t>
        </is>
      </c>
      <c r="C300" t="n">
        <v>6</v>
      </c>
      <c r="D300" t="n">
        <v>10</v>
      </c>
      <c r="E300" t="n">
        <v>7</v>
      </c>
      <c r="F300" t="n">
        <v>1043</v>
      </c>
      <c r="G300" t="n">
        <v>4146</v>
      </c>
      <c r="H300" t="n">
        <v>0</v>
      </c>
      <c r="I300" t="n">
        <v>645</v>
      </c>
      <c r="J300" t="n">
        <v>4791</v>
      </c>
      <c r="K300" t="n">
        <v>645</v>
      </c>
      <c r="L300">
        <f>MIN(F300,J300)</f>
        <v/>
      </c>
      <c r="M300">
        <f>MIN(K300,MAX(0,F300-(J300-K300)))</f>
        <v/>
      </c>
    </row>
    <row r="301">
      <c r="A301" t="inlineStr">
        <is>
          <t>HARBOR-OFFICE</t>
        </is>
      </c>
      <c r="B301" t="inlineStr">
        <is>
          <t>2026-09-27</t>
        </is>
      </c>
      <c r="C301" t="n">
        <v>6</v>
      </c>
      <c r="D301" t="n">
        <v>11</v>
      </c>
      <c r="E301" t="n">
        <v>7</v>
      </c>
      <c r="F301" t="n">
        <v>1043</v>
      </c>
      <c r="G301" t="n">
        <v>4447</v>
      </c>
      <c r="H301" t="n">
        <v>0</v>
      </c>
      <c r="I301" t="n">
        <v>661</v>
      </c>
      <c r="J301" t="n">
        <v>5108</v>
      </c>
      <c r="K301" t="n">
        <v>661</v>
      </c>
      <c r="L301">
        <f>MIN(F301,J301)</f>
        <v/>
      </c>
      <c r="M301">
        <f>MIN(K301,MAX(0,F301-(J301-K301)))</f>
        <v/>
      </c>
    </row>
    <row r="302">
      <c r="A302" t="inlineStr">
        <is>
          <t>HARBOR-OFFICE</t>
        </is>
      </c>
      <c r="B302" t="inlineStr">
        <is>
          <t>2026-09-27</t>
        </is>
      </c>
      <c r="C302" t="n">
        <v>6</v>
      </c>
      <c r="D302" t="n">
        <v>12</v>
      </c>
      <c r="E302" t="n">
        <v>7</v>
      </c>
      <c r="F302" t="n">
        <v>1043</v>
      </c>
      <c r="G302" t="n">
        <v>4500</v>
      </c>
      <c r="H302" t="n">
        <v>0</v>
      </c>
      <c r="I302" t="n">
        <v>674</v>
      </c>
      <c r="J302" t="n">
        <v>5174</v>
      </c>
      <c r="K302" t="n">
        <v>674</v>
      </c>
      <c r="L302">
        <f>MIN(F302,J302)</f>
        <v/>
      </c>
      <c r="M302">
        <f>MIN(K302,MAX(0,F302-(J302-K302)))</f>
        <v/>
      </c>
    </row>
    <row r="303">
      <c r="A303" t="inlineStr">
        <is>
          <t>HARBOR-OFFICE</t>
        </is>
      </c>
      <c r="B303" t="inlineStr">
        <is>
          <t>2026-09-27</t>
        </is>
      </c>
      <c r="C303" t="n">
        <v>6</v>
      </c>
      <c r="D303" t="n">
        <v>13</v>
      </c>
      <c r="E303" t="n">
        <v>7</v>
      </c>
      <c r="F303" t="n">
        <v>1043</v>
      </c>
      <c r="G303" t="n">
        <v>4183</v>
      </c>
      <c r="H303" t="n">
        <v>0</v>
      </c>
      <c r="I303" t="n">
        <v>675</v>
      </c>
      <c r="J303" t="n">
        <v>4858</v>
      </c>
      <c r="K303" t="n">
        <v>675</v>
      </c>
      <c r="L303">
        <f>MIN(F303,J303)</f>
        <v/>
      </c>
      <c r="M303">
        <f>MIN(K303,MAX(0,F303-(J303-K303)))</f>
        <v/>
      </c>
    </row>
    <row r="304">
      <c r="A304" t="inlineStr">
        <is>
          <t>HARBOR-OFFICE</t>
        </is>
      </c>
      <c r="B304" t="inlineStr">
        <is>
          <t>2026-09-27</t>
        </is>
      </c>
      <c r="C304" t="n">
        <v>6</v>
      </c>
      <c r="D304" t="n">
        <v>14</v>
      </c>
      <c r="E304" t="n">
        <v>7</v>
      </c>
      <c r="F304" t="n">
        <v>1043</v>
      </c>
      <c r="G304" t="n">
        <v>3648</v>
      </c>
      <c r="H304" t="n">
        <v>0</v>
      </c>
      <c r="I304" t="n">
        <v>741</v>
      </c>
      <c r="J304" t="n">
        <v>4389</v>
      </c>
      <c r="K304" t="n">
        <v>741</v>
      </c>
      <c r="L304">
        <f>MIN(F304,J304)</f>
        <v/>
      </c>
      <c r="M304">
        <f>MIN(K304,MAX(0,F304-(J304-K304)))</f>
        <v/>
      </c>
    </row>
    <row r="305">
      <c r="A305" t="inlineStr">
        <is>
          <t>HARBOR-OFFICE</t>
        </is>
      </c>
      <c r="B305" t="inlineStr">
        <is>
          <t>2026-09-27</t>
        </is>
      </c>
      <c r="C305" t="n">
        <v>6</v>
      </c>
      <c r="D305" t="n">
        <v>15</v>
      </c>
      <c r="E305" t="n">
        <v>7</v>
      </c>
      <c r="F305" t="n">
        <v>1043</v>
      </c>
      <c r="G305" t="n">
        <v>2721</v>
      </c>
      <c r="H305" t="n">
        <v>0</v>
      </c>
      <c r="I305" t="n">
        <v>921</v>
      </c>
      <c r="J305" t="n">
        <v>3642</v>
      </c>
      <c r="K305" t="n">
        <v>921</v>
      </c>
      <c r="L305">
        <f>MIN(F305,J305)</f>
        <v/>
      </c>
      <c r="M305">
        <f>MIN(K305,MAX(0,F305-(J305-K305)))</f>
        <v/>
      </c>
    </row>
    <row r="306">
      <c r="A306" t="inlineStr">
        <is>
          <t>HARBOR-OFFICE</t>
        </is>
      </c>
      <c r="B306" t="inlineStr">
        <is>
          <t>2026-09-27</t>
        </is>
      </c>
      <c r="C306" t="n">
        <v>6</v>
      </c>
      <c r="D306" t="n">
        <v>16</v>
      </c>
      <c r="E306" t="n">
        <v>7</v>
      </c>
      <c r="F306" t="n">
        <v>1043</v>
      </c>
      <c r="G306" t="n">
        <v>1500</v>
      </c>
      <c r="H306" t="n">
        <v>0</v>
      </c>
      <c r="I306" t="n">
        <v>1274</v>
      </c>
      <c r="J306" t="n">
        <v>2774</v>
      </c>
      <c r="K306" t="n">
        <v>1274</v>
      </c>
      <c r="L306">
        <f>MIN(F306,J306)</f>
        <v/>
      </c>
      <c r="M306">
        <f>MIN(K306,MAX(0,F306-(J306-K306)))</f>
        <v/>
      </c>
    </row>
    <row r="307">
      <c r="A307" t="inlineStr">
        <is>
          <t>HARBOR-OFFICE</t>
        </is>
      </c>
      <c r="B307" t="inlineStr">
        <is>
          <t>2026-09-27</t>
        </is>
      </c>
      <c r="C307" t="n">
        <v>6</v>
      </c>
      <c r="D307" t="n">
        <v>17</v>
      </c>
      <c r="E307" t="n">
        <v>7</v>
      </c>
      <c r="F307" t="n">
        <v>1043</v>
      </c>
      <c r="G307" t="n">
        <v>357</v>
      </c>
      <c r="H307" t="n">
        <v>0</v>
      </c>
      <c r="I307" t="n">
        <v>1651</v>
      </c>
      <c r="J307" t="n">
        <v>2008</v>
      </c>
      <c r="K307" t="n">
        <v>1651</v>
      </c>
      <c r="L307">
        <f>MIN(F307,J307)</f>
        <v/>
      </c>
      <c r="M307">
        <f>MIN(K307,MAX(0,F307-(J307-K307)))</f>
        <v/>
      </c>
    </row>
    <row r="308">
      <c r="A308" t="inlineStr">
        <is>
          <t>HARBOR-OFFICE</t>
        </is>
      </c>
      <c r="B308" t="inlineStr">
        <is>
          <t>2026-09-27</t>
        </is>
      </c>
      <c r="C308" t="n">
        <v>6</v>
      </c>
      <c r="D308" t="n">
        <v>18</v>
      </c>
      <c r="E308" t="n">
        <v>7</v>
      </c>
      <c r="F308" t="n">
        <v>1043</v>
      </c>
      <c r="G308" t="n">
        <v>0</v>
      </c>
      <c r="H308" t="n">
        <v>0</v>
      </c>
      <c r="I308" t="n">
        <v>2151</v>
      </c>
      <c r="J308" t="n">
        <v>2151</v>
      </c>
      <c r="K308" t="n">
        <v>2151</v>
      </c>
      <c r="L308">
        <f>MIN(F308,J308)</f>
        <v/>
      </c>
      <c r="M308">
        <f>MIN(K308,MAX(0,F308-(J308-K308)))</f>
        <v/>
      </c>
    </row>
    <row r="309">
      <c r="A309" t="inlineStr">
        <is>
          <t>HARBOR-OFFICE</t>
        </is>
      </c>
      <c r="B309" t="inlineStr">
        <is>
          <t>2026-09-27</t>
        </is>
      </c>
      <c r="C309" t="n">
        <v>6</v>
      </c>
      <c r="D309" t="n">
        <v>19</v>
      </c>
      <c r="E309" t="n">
        <v>7</v>
      </c>
      <c r="F309" t="n">
        <v>1043</v>
      </c>
      <c r="G309" t="n">
        <v>0</v>
      </c>
      <c r="H309" t="n">
        <v>0</v>
      </c>
      <c r="I309" t="n">
        <v>2084</v>
      </c>
      <c r="J309" t="n">
        <v>2084</v>
      </c>
      <c r="K309" t="n">
        <v>2084</v>
      </c>
      <c r="L309">
        <f>MIN(F309,J309)</f>
        <v/>
      </c>
      <c r="M309">
        <f>MIN(K309,MAX(0,F309-(J309-K309)))</f>
        <v/>
      </c>
    </row>
    <row r="310">
      <c r="A310" t="inlineStr">
        <is>
          <t>HARBOR-OFFICE</t>
        </is>
      </c>
      <c r="B310" t="inlineStr">
        <is>
          <t>2026-09-27</t>
        </is>
      </c>
      <c r="C310" t="n">
        <v>6</v>
      </c>
      <c r="D310" t="n">
        <v>20</v>
      </c>
      <c r="E310" t="n">
        <v>7</v>
      </c>
      <c r="F310" t="n">
        <v>1043</v>
      </c>
      <c r="G310" t="n">
        <v>0</v>
      </c>
      <c r="H310" t="n">
        <v>0</v>
      </c>
      <c r="I310" t="n">
        <v>1790</v>
      </c>
      <c r="J310" t="n">
        <v>1790</v>
      </c>
      <c r="K310" t="n">
        <v>1790</v>
      </c>
      <c r="L310">
        <f>MIN(F310,J310)</f>
        <v/>
      </c>
      <c r="M310">
        <f>MIN(K310,MAX(0,F310-(J310-K310)))</f>
        <v/>
      </c>
    </row>
    <row r="311">
      <c r="A311" t="inlineStr">
        <is>
          <t>HARBOR-OFFICE</t>
        </is>
      </c>
      <c r="B311" t="inlineStr">
        <is>
          <t>2026-09-27</t>
        </is>
      </c>
      <c r="C311" t="n">
        <v>6</v>
      </c>
      <c r="D311" t="n">
        <v>21</v>
      </c>
      <c r="E311" t="n">
        <v>7</v>
      </c>
      <c r="F311" t="n">
        <v>1043</v>
      </c>
      <c r="G311" t="n">
        <v>0</v>
      </c>
      <c r="H311" t="n">
        <v>0</v>
      </c>
      <c r="I311" t="n">
        <v>1569</v>
      </c>
      <c r="J311" t="n">
        <v>1569</v>
      </c>
      <c r="K311" t="n">
        <v>1569</v>
      </c>
      <c r="L311">
        <f>MIN(F311,J311)</f>
        <v/>
      </c>
      <c r="M311">
        <f>MIN(K311,MAX(0,F311-(J311-K311)))</f>
        <v/>
      </c>
    </row>
    <row r="312">
      <c r="A312" t="inlineStr">
        <is>
          <t>HARBOR-OFFICE</t>
        </is>
      </c>
      <c r="B312" t="inlineStr">
        <is>
          <t>2026-09-27</t>
        </is>
      </c>
      <c r="C312" t="n">
        <v>6</v>
      </c>
      <c r="D312" t="n">
        <v>22</v>
      </c>
      <c r="E312" t="n">
        <v>7</v>
      </c>
      <c r="F312" t="n">
        <v>1043</v>
      </c>
      <c r="G312" t="n">
        <v>0</v>
      </c>
      <c r="H312" t="n">
        <v>0</v>
      </c>
      <c r="I312" t="n">
        <v>1324</v>
      </c>
      <c r="J312" t="n">
        <v>1324</v>
      </c>
      <c r="K312" t="n">
        <v>1324</v>
      </c>
      <c r="L312">
        <f>MIN(F312,J312)</f>
        <v/>
      </c>
      <c r="M312">
        <f>MIN(K312,MAX(0,F312-(J312-K312)))</f>
        <v/>
      </c>
    </row>
    <row r="313">
      <c r="A313" t="inlineStr">
        <is>
          <t>HARBOR-OFFICE</t>
        </is>
      </c>
      <c r="B313" t="inlineStr">
        <is>
          <t>2026-09-27</t>
        </is>
      </c>
      <c r="C313" t="n">
        <v>6</v>
      </c>
      <c r="D313" t="n">
        <v>23</v>
      </c>
      <c r="E313" t="n">
        <v>7</v>
      </c>
      <c r="F313" t="n">
        <v>1043</v>
      </c>
      <c r="G313" t="n">
        <v>0</v>
      </c>
      <c r="H313" t="n">
        <v>0</v>
      </c>
      <c r="I313" t="n">
        <v>1301</v>
      </c>
      <c r="J313" t="n">
        <v>1301</v>
      </c>
      <c r="K313" t="n">
        <v>1301</v>
      </c>
      <c r="L313">
        <f>MIN(F313,J313)</f>
        <v/>
      </c>
      <c r="M313">
        <f>MIN(K313,MAX(0,F313-(J313-K313)))</f>
        <v/>
      </c>
    </row>
    <row r="314">
      <c r="A314" t="inlineStr">
        <is>
          <t>HARBOR-OFFICE</t>
        </is>
      </c>
      <c r="B314" t="inlineStr">
        <is>
          <t>2026-09-28</t>
        </is>
      </c>
      <c r="C314" t="n">
        <v>7</v>
      </c>
      <c r="D314" t="n">
        <v>0</v>
      </c>
      <c r="E314" t="n">
        <v>1</v>
      </c>
      <c r="F314" t="n">
        <v>1043</v>
      </c>
      <c r="G314" t="n">
        <v>0</v>
      </c>
      <c r="H314" t="n">
        <v>0</v>
      </c>
      <c r="I314" t="n">
        <v>1151</v>
      </c>
      <c r="J314" t="n">
        <v>1151</v>
      </c>
      <c r="K314" t="n">
        <v>1151</v>
      </c>
      <c r="L314">
        <f>MIN(F314,J314)</f>
        <v/>
      </c>
      <c r="M314">
        <f>MIN(K314,MAX(0,F314-(J314-K314)))</f>
        <v/>
      </c>
    </row>
    <row r="315">
      <c r="A315" t="inlineStr">
        <is>
          <t>HARBOR-OFFICE</t>
        </is>
      </c>
      <c r="B315" t="inlineStr">
        <is>
          <t>2026-09-28</t>
        </is>
      </c>
      <c r="C315" t="n">
        <v>7</v>
      </c>
      <c r="D315" t="n">
        <v>1</v>
      </c>
      <c r="E315" t="n">
        <v>1</v>
      </c>
      <c r="F315" t="n">
        <v>1043</v>
      </c>
      <c r="G315" t="n">
        <v>0</v>
      </c>
      <c r="H315" t="n">
        <v>0</v>
      </c>
      <c r="I315" t="n">
        <v>1085</v>
      </c>
      <c r="J315" t="n">
        <v>1085</v>
      </c>
      <c r="K315" t="n">
        <v>1085</v>
      </c>
      <c r="L315">
        <f>MIN(F315,J315)</f>
        <v/>
      </c>
      <c r="M315">
        <f>MIN(K315,MAX(0,F315-(J315-K315)))</f>
        <v/>
      </c>
    </row>
    <row r="316">
      <c r="A316" t="inlineStr">
        <is>
          <t>HARBOR-OFFICE</t>
        </is>
      </c>
      <c r="B316" t="inlineStr">
        <is>
          <t>2026-09-28</t>
        </is>
      </c>
      <c r="C316" t="n">
        <v>7</v>
      </c>
      <c r="D316" t="n">
        <v>2</v>
      </c>
      <c r="E316" t="n">
        <v>1</v>
      </c>
      <c r="F316" t="n">
        <v>1043</v>
      </c>
      <c r="G316" t="n">
        <v>0</v>
      </c>
      <c r="H316" t="n">
        <v>0</v>
      </c>
      <c r="I316" t="n">
        <v>1060</v>
      </c>
      <c r="J316" t="n">
        <v>1060</v>
      </c>
      <c r="K316" t="n">
        <v>1060</v>
      </c>
      <c r="L316">
        <f>MIN(F316,J316)</f>
        <v/>
      </c>
      <c r="M316">
        <f>MIN(K316,MAX(0,F316-(J316-K316)))</f>
        <v/>
      </c>
    </row>
    <row r="317">
      <c r="A317" t="inlineStr">
        <is>
          <t>HARBOR-OFFICE</t>
        </is>
      </c>
      <c r="B317" t="inlineStr">
        <is>
          <t>2026-09-28</t>
        </is>
      </c>
      <c r="C317" t="n">
        <v>7</v>
      </c>
      <c r="D317" t="n">
        <v>3</v>
      </c>
      <c r="E317" t="n">
        <v>1</v>
      </c>
      <c r="F317" t="n">
        <v>1043</v>
      </c>
      <c r="G317" t="n">
        <v>0</v>
      </c>
      <c r="H317" t="n">
        <v>0</v>
      </c>
      <c r="I317" t="n">
        <v>1068</v>
      </c>
      <c r="J317" t="n">
        <v>1068</v>
      </c>
      <c r="K317" t="n">
        <v>1068</v>
      </c>
      <c r="L317">
        <f>MIN(F317,J317)</f>
        <v/>
      </c>
      <c r="M317">
        <f>MIN(K317,MAX(0,F317-(J317-K317)))</f>
        <v/>
      </c>
    </row>
    <row r="318">
      <c r="A318" t="inlineStr">
        <is>
          <t>HARBOR-OFFICE</t>
        </is>
      </c>
      <c r="B318" t="inlineStr">
        <is>
          <t>2026-09-28</t>
        </is>
      </c>
      <c r="C318" t="n">
        <v>7</v>
      </c>
      <c r="D318" t="n">
        <v>4</v>
      </c>
      <c r="E318" t="n">
        <v>1</v>
      </c>
      <c r="F318" t="n">
        <v>1043</v>
      </c>
      <c r="G318" t="n">
        <v>0</v>
      </c>
      <c r="H318" t="n">
        <v>0</v>
      </c>
      <c r="I318" t="n">
        <v>796</v>
      </c>
      <c r="J318" t="n">
        <v>796</v>
      </c>
      <c r="K318" t="n">
        <v>796</v>
      </c>
      <c r="L318">
        <f>MIN(F318,J318)</f>
        <v/>
      </c>
      <c r="M318">
        <f>MIN(K318,MAX(0,F318-(J318-K318)))</f>
        <v/>
      </c>
    </row>
    <row r="319">
      <c r="A319" t="inlineStr">
        <is>
          <t>HARBOR-OFFICE</t>
        </is>
      </c>
      <c r="B319" t="inlineStr">
        <is>
          <t>2026-09-28</t>
        </is>
      </c>
      <c r="C319" t="n">
        <v>7</v>
      </c>
      <c r="D319" t="n">
        <v>5</v>
      </c>
      <c r="E319" t="n">
        <v>1</v>
      </c>
      <c r="F319" t="n">
        <v>1043</v>
      </c>
      <c r="G319" t="n">
        <v>3</v>
      </c>
      <c r="H319" t="n">
        <v>0</v>
      </c>
      <c r="I319" t="n">
        <v>707</v>
      </c>
      <c r="J319" t="n">
        <v>710</v>
      </c>
      <c r="K319" t="n">
        <v>707</v>
      </c>
      <c r="L319">
        <f>MIN(F319,J319)</f>
        <v/>
      </c>
      <c r="M319">
        <f>MIN(K319,MAX(0,F319-(J319-K319)))</f>
        <v/>
      </c>
    </row>
    <row r="320">
      <c r="A320" t="inlineStr">
        <is>
          <t>HARBOR-OFFICE</t>
        </is>
      </c>
      <c r="B320" t="inlineStr">
        <is>
          <t>2026-09-28</t>
        </is>
      </c>
      <c r="C320" t="n">
        <v>7</v>
      </c>
      <c r="D320" t="n">
        <v>6</v>
      </c>
      <c r="E320" t="n">
        <v>1</v>
      </c>
      <c r="F320" t="n">
        <v>1043</v>
      </c>
      <c r="G320" t="n">
        <v>186</v>
      </c>
      <c r="H320" t="n">
        <v>0</v>
      </c>
      <c r="I320" t="n">
        <v>705</v>
      </c>
      <c r="J320" t="n">
        <v>891</v>
      </c>
      <c r="K320" t="n">
        <v>705</v>
      </c>
      <c r="L320">
        <f>MIN(F320,J320)</f>
        <v/>
      </c>
      <c r="M320">
        <f>MIN(K320,MAX(0,F320-(J320-K320)))</f>
        <v/>
      </c>
    </row>
    <row r="321">
      <c r="A321" t="inlineStr">
        <is>
          <t>HARBOR-OFFICE</t>
        </is>
      </c>
      <c r="B321" t="inlineStr">
        <is>
          <t>2026-09-28</t>
        </is>
      </c>
      <c r="C321" t="n">
        <v>7</v>
      </c>
      <c r="D321" t="n">
        <v>7</v>
      </c>
      <c r="E321" t="n">
        <v>1</v>
      </c>
      <c r="F321" t="n">
        <v>1043</v>
      </c>
      <c r="G321" t="n">
        <v>1244</v>
      </c>
      <c r="H321" t="n">
        <v>0</v>
      </c>
      <c r="I321" t="n">
        <v>683</v>
      </c>
      <c r="J321" t="n">
        <v>1927</v>
      </c>
      <c r="K321" t="n">
        <v>683</v>
      </c>
      <c r="L321">
        <f>MIN(F321,J321)</f>
        <v/>
      </c>
      <c r="M321">
        <f>MIN(K321,MAX(0,F321-(J321-K321)))</f>
        <v/>
      </c>
    </row>
    <row r="322">
      <c r="A322" t="inlineStr">
        <is>
          <t>HARBOR-OFFICE</t>
        </is>
      </c>
      <c r="B322" t="inlineStr">
        <is>
          <t>2026-09-28</t>
        </is>
      </c>
      <c r="C322" t="n">
        <v>7</v>
      </c>
      <c r="D322" t="n">
        <v>8</v>
      </c>
      <c r="E322" t="n">
        <v>1</v>
      </c>
      <c r="F322" t="n">
        <v>5217</v>
      </c>
      <c r="G322" t="n">
        <v>2528</v>
      </c>
      <c r="H322" t="n">
        <v>0</v>
      </c>
      <c r="I322" t="n">
        <v>643</v>
      </c>
      <c r="J322" t="n">
        <v>3171</v>
      </c>
      <c r="K322" t="n">
        <v>643</v>
      </c>
      <c r="L322">
        <f>MIN(F322,J322)</f>
        <v/>
      </c>
      <c r="M322">
        <f>MIN(K322,MAX(0,F322-(J322-K322)))</f>
        <v/>
      </c>
    </row>
    <row r="323">
      <c r="A323" t="inlineStr">
        <is>
          <t>HARBOR-OFFICE</t>
        </is>
      </c>
      <c r="B323" t="inlineStr">
        <is>
          <t>2026-09-28</t>
        </is>
      </c>
      <c r="C323" t="n">
        <v>7</v>
      </c>
      <c r="D323" t="n">
        <v>9</v>
      </c>
      <c r="E323" t="n">
        <v>1</v>
      </c>
      <c r="F323" t="n">
        <v>5217</v>
      </c>
      <c r="G323" t="n">
        <v>3153</v>
      </c>
      <c r="H323" t="n">
        <v>0</v>
      </c>
      <c r="I323" t="n">
        <v>643</v>
      </c>
      <c r="J323" t="n">
        <v>3796</v>
      </c>
      <c r="K323" t="n">
        <v>643</v>
      </c>
      <c r="L323">
        <f>MIN(F323,J323)</f>
        <v/>
      </c>
      <c r="M323">
        <f>MIN(K323,MAX(0,F323-(J323-K323)))</f>
        <v/>
      </c>
    </row>
    <row r="324">
      <c r="A324" t="inlineStr">
        <is>
          <t>HARBOR-OFFICE</t>
        </is>
      </c>
      <c r="B324" t="inlineStr">
        <is>
          <t>2026-09-28</t>
        </is>
      </c>
      <c r="C324" t="n">
        <v>7</v>
      </c>
      <c r="D324" t="n">
        <v>10</v>
      </c>
      <c r="E324" t="n">
        <v>1</v>
      </c>
      <c r="F324" t="n">
        <v>5217</v>
      </c>
      <c r="G324" t="n">
        <v>3669</v>
      </c>
      <c r="H324" t="n">
        <v>0</v>
      </c>
      <c r="I324" t="n">
        <v>648</v>
      </c>
      <c r="J324" t="n">
        <v>4317</v>
      </c>
      <c r="K324" t="n">
        <v>648</v>
      </c>
      <c r="L324">
        <f>MIN(F324,J324)</f>
        <v/>
      </c>
      <c r="M324">
        <f>MIN(K324,MAX(0,F324-(J324-K324)))</f>
        <v/>
      </c>
    </row>
    <row r="325">
      <c r="A325" t="inlineStr">
        <is>
          <t>HARBOR-OFFICE</t>
        </is>
      </c>
      <c r="B325" t="inlineStr">
        <is>
          <t>2026-09-28</t>
        </is>
      </c>
      <c r="C325" t="n">
        <v>7</v>
      </c>
      <c r="D325" t="n">
        <v>11</v>
      </c>
      <c r="E325" t="n">
        <v>1</v>
      </c>
      <c r="F325" t="n">
        <v>5217</v>
      </c>
      <c r="G325" t="n">
        <v>4079</v>
      </c>
      <c r="H325" t="n">
        <v>0</v>
      </c>
      <c r="I325" t="n">
        <v>644</v>
      </c>
      <c r="J325" t="n">
        <v>4723</v>
      </c>
      <c r="K325" t="n">
        <v>644</v>
      </c>
      <c r="L325">
        <f>MIN(F325,J325)</f>
        <v/>
      </c>
      <c r="M325">
        <f>MIN(K325,MAX(0,F325-(J325-K325)))</f>
        <v/>
      </c>
    </row>
    <row r="326">
      <c r="A326" t="inlineStr">
        <is>
          <t>HARBOR-OFFICE</t>
        </is>
      </c>
      <c r="B326" t="inlineStr">
        <is>
          <t>2026-09-28</t>
        </is>
      </c>
      <c r="C326" t="n">
        <v>7</v>
      </c>
      <c r="D326" t="n">
        <v>12</v>
      </c>
      <c r="E326" t="n">
        <v>1</v>
      </c>
      <c r="F326" t="n">
        <v>5217</v>
      </c>
      <c r="G326" t="n">
        <v>4265</v>
      </c>
      <c r="H326" t="n">
        <v>0</v>
      </c>
      <c r="I326" t="n">
        <v>682</v>
      </c>
      <c r="J326" t="n">
        <v>4947</v>
      </c>
      <c r="K326" t="n">
        <v>682</v>
      </c>
      <c r="L326">
        <f>MIN(F326,J326)</f>
        <v/>
      </c>
      <c r="M326">
        <f>MIN(K326,MAX(0,F326-(J326-K326)))</f>
        <v/>
      </c>
    </row>
    <row r="327">
      <c r="A327" t="inlineStr">
        <is>
          <t>HARBOR-OFFICE</t>
        </is>
      </c>
      <c r="B327" t="inlineStr">
        <is>
          <t>2026-09-28</t>
        </is>
      </c>
      <c r="C327" t="n">
        <v>7</v>
      </c>
      <c r="D327" t="n">
        <v>13</v>
      </c>
      <c r="E327" t="n">
        <v>1</v>
      </c>
      <c r="F327" t="n">
        <v>5217</v>
      </c>
      <c r="G327" t="n">
        <v>4129</v>
      </c>
      <c r="H327" t="n">
        <v>0</v>
      </c>
      <c r="I327" t="n">
        <v>694</v>
      </c>
      <c r="J327" t="n">
        <v>4823</v>
      </c>
      <c r="K327" t="n">
        <v>694</v>
      </c>
      <c r="L327">
        <f>MIN(F327,J327)</f>
        <v/>
      </c>
      <c r="M327">
        <f>MIN(K327,MAX(0,F327-(J327-K327)))</f>
        <v/>
      </c>
    </row>
    <row r="328">
      <c r="A328" t="inlineStr">
        <is>
          <t>HARBOR-OFFICE</t>
        </is>
      </c>
      <c r="B328" t="inlineStr">
        <is>
          <t>2026-09-28</t>
        </is>
      </c>
      <c r="C328" t="n">
        <v>7</v>
      </c>
      <c r="D328" t="n">
        <v>14</v>
      </c>
      <c r="E328" t="n">
        <v>1</v>
      </c>
      <c r="F328" t="n">
        <v>5217</v>
      </c>
      <c r="G328" t="n">
        <v>3678</v>
      </c>
      <c r="H328" t="n">
        <v>0</v>
      </c>
      <c r="I328" t="n">
        <v>776</v>
      </c>
      <c r="J328" t="n">
        <v>4454</v>
      </c>
      <c r="K328" t="n">
        <v>776</v>
      </c>
      <c r="L328">
        <f>MIN(F328,J328)</f>
        <v/>
      </c>
      <c r="M328">
        <f>MIN(K328,MAX(0,F328-(J328-K328)))</f>
        <v/>
      </c>
    </row>
    <row r="329">
      <c r="A329" t="inlineStr">
        <is>
          <t>HARBOR-OFFICE</t>
        </is>
      </c>
      <c r="B329" t="inlineStr">
        <is>
          <t>2026-09-28</t>
        </is>
      </c>
      <c r="C329" t="n">
        <v>7</v>
      </c>
      <c r="D329" t="n">
        <v>15</v>
      </c>
      <c r="E329" t="n">
        <v>1</v>
      </c>
      <c r="F329" t="n">
        <v>5217</v>
      </c>
      <c r="G329" t="n">
        <v>2755</v>
      </c>
      <c r="H329" t="n">
        <v>0</v>
      </c>
      <c r="I329" t="n">
        <v>890</v>
      </c>
      <c r="J329" t="n">
        <v>3645</v>
      </c>
      <c r="K329" t="n">
        <v>890</v>
      </c>
      <c r="L329">
        <f>MIN(F329,J329)</f>
        <v/>
      </c>
      <c r="M329">
        <f>MIN(K329,MAX(0,F329-(J329-K329)))</f>
        <v/>
      </c>
    </row>
    <row r="330">
      <c r="A330" t="inlineStr">
        <is>
          <t>HARBOR-OFFICE</t>
        </is>
      </c>
      <c r="B330" t="inlineStr">
        <is>
          <t>2026-09-28</t>
        </is>
      </c>
      <c r="C330" t="n">
        <v>7</v>
      </c>
      <c r="D330" t="n">
        <v>16</v>
      </c>
      <c r="E330" t="n">
        <v>1</v>
      </c>
      <c r="F330" t="n">
        <v>5217</v>
      </c>
      <c r="G330" t="n">
        <v>1514</v>
      </c>
      <c r="H330" t="n">
        <v>0</v>
      </c>
      <c r="I330" t="n">
        <v>1127</v>
      </c>
      <c r="J330" t="n">
        <v>2641</v>
      </c>
      <c r="K330" t="n">
        <v>1127</v>
      </c>
      <c r="L330">
        <f>MIN(F330,J330)</f>
        <v/>
      </c>
      <c r="M330">
        <f>MIN(K330,MAX(0,F330-(J330-K330)))</f>
        <v/>
      </c>
    </row>
    <row r="331">
      <c r="A331" t="inlineStr">
        <is>
          <t>HARBOR-OFFICE</t>
        </is>
      </c>
      <c r="B331" t="inlineStr">
        <is>
          <t>2026-09-28</t>
        </is>
      </c>
      <c r="C331" t="n">
        <v>7</v>
      </c>
      <c r="D331" t="n">
        <v>17</v>
      </c>
      <c r="E331" t="n">
        <v>1</v>
      </c>
      <c r="F331" t="n">
        <v>5217</v>
      </c>
      <c r="G331" t="n">
        <v>302</v>
      </c>
      <c r="H331" t="n">
        <v>0</v>
      </c>
      <c r="I331" t="n">
        <v>2085</v>
      </c>
      <c r="J331" t="n">
        <v>2387</v>
      </c>
      <c r="K331" t="n">
        <v>2085</v>
      </c>
      <c r="L331">
        <f>MIN(F331,J331)</f>
        <v/>
      </c>
      <c r="M331">
        <f>MIN(K331,MAX(0,F331-(J331-K331)))</f>
        <v/>
      </c>
    </row>
    <row r="332">
      <c r="A332" t="inlineStr">
        <is>
          <t>HARBOR-OFFICE</t>
        </is>
      </c>
      <c r="B332" t="inlineStr">
        <is>
          <t>2026-09-28</t>
        </is>
      </c>
      <c r="C332" t="n">
        <v>7</v>
      </c>
      <c r="D332" t="n">
        <v>18</v>
      </c>
      <c r="E332" t="n">
        <v>1</v>
      </c>
      <c r="F332" t="n">
        <v>5217</v>
      </c>
      <c r="G332" t="n">
        <v>0</v>
      </c>
      <c r="H332" t="n">
        <v>0</v>
      </c>
      <c r="I332" t="n">
        <v>2328</v>
      </c>
      <c r="J332" t="n">
        <v>2328</v>
      </c>
      <c r="K332" t="n">
        <v>2328</v>
      </c>
      <c r="L332">
        <f>MIN(F332,J332)</f>
        <v/>
      </c>
      <c r="M332">
        <f>MIN(K332,MAX(0,F332-(J332-K332)))</f>
        <v/>
      </c>
    </row>
    <row r="333">
      <c r="A333" t="inlineStr">
        <is>
          <t>HARBOR-OFFICE</t>
        </is>
      </c>
      <c r="B333" t="inlineStr">
        <is>
          <t>2026-09-28</t>
        </is>
      </c>
      <c r="C333" t="n">
        <v>7</v>
      </c>
      <c r="D333" t="n">
        <v>19</v>
      </c>
      <c r="E333" t="n">
        <v>1</v>
      </c>
      <c r="F333" t="n">
        <v>1043</v>
      </c>
      <c r="G333" t="n">
        <v>0</v>
      </c>
      <c r="H333" t="n">
        <v>0</v>
      </c>
      <c r="I333" t="n">
        <v>2471</v>
      </c>
      <c r="J333" t="n">
        <v>2471</v>
      </c>
      <c r="K333" t="n">
        <v>2471</v>
      </c>
      <c r="L333">
        <f>MIN(F333,J333)</f>
        <v/>
      </c>
      <c r="M333">
        <f>MIN(K333,MAX(0,F333-(J333-K333)))</f>
        <v/>
      </c>
    </row>
    <row r="334">
      <c r="A334" t="inlineStr">
        <is>
          <t>HARBOR-OFFICE</t>
        </is>
      </c>
      <c r="B334" t="inlineStr">
        <is>
          <t>2026-09-28</t>
        </is>
      </c>
      <c r="C334" t="n">
        <v>7</v>
      </c>
      <c r="D334" t="n">
        <v>20</v>
      </c>
      <c r="E334" t="n">
        <v>1</v>
      </c>
      <c r="F334" t="n">
        <v>1043</v>
      </c>
      <c r="G334" t="n">
        <v>0</v>
      </c>
      <c r="H334" t="n">
        <v>0</v>
      </c>
      <c r="I334" t="n">
        <v>2347</v>
      </c>
      <c r="J334" t="n">
        <v>2347</v>
      </c>
      <c r="K334" t="n">
        <v>2347</v>
      </c>
      <c r="L334">
        <f>MIN(F334,J334)</f>
        <v/>
      </c>
      <c r="M334">
        <f>MIN(K334,MAX(0,F334-(J334-K334)))</f>
        <v/>
      </c>
    </row>
    <row r="335">
      <c r="A335" t="inlineStr">
        <is>
          <t>HARBOR-OFFICE</t>
        </is>
      </c>
      <c r="B335" t="inlineStr">
        <is>
          <t>2026-09-28</t>
        </is>
      </c>
      <c r="C335" t="n">
        <v>7</v>
      </c>
      <c r="D335" t="n">
        <v>21</v>
      </c>
      <c r="E335" t="n">
        <v>1</v>
      </c>
      <c r="F335" t="n">
        <v>1043</v>
      </c>
      <c r="G335" t="n">
        <v>0</v>
      </c>
      <c r="H335" t="n">
        <v>0</v>
      </c>
      <c r="I335" t="n">
        <v>1564</v>
      </c>
      <c r="J335" t="n">
        <v>1564</v>
      </c>
      <c r="K335" t="n">
        <v>1564</v>
      </c>
      <c r="L335">
        <f>MIN(F335,J335)</f>
        <v/>
      </c>
      <c r="M335">
        <f>MIN(K335,MAX(0,F335-(J335-K335)))</f>
        <v/>
      </c>
    </row>
    <row r="336">
      <c r="A336" t="inlineStr">
        <is>
          <t>HARBOR-OFFICE</t>
        </is>
      </c>
      <c r="B336" t="inlineStr">
        <is>
          <t>2026-09-28</t>
        </is>
      </c>
      <c r="C336" t="n">
        <v>7</v>
      </c>
      <c r="D336" t="n">
        <v>22</v>
      </c>
      <c r="E336" t="n">
        <v>1</v>
      </c>
      <c r="F336" t="n">
        <v>1043</v>
      </c>
      <c r="G336" t="n">
        <v>0</v>
      </c>
      <c r="H336" t="n">
        <v>0</v>
      </c>
      <c r="I336" t="n">
        <v>1356</v>
      </c>
      <c r="J336" t="n">
        <v>1356</v>
      </c>
      <c r="K336" t="n">
        <v>1356</v>
      </c>
      <c r="L336">
        <f>MIN(F336,J336)</f>
        <v/>
      </c>
      <c r="M336">
        <f>MIN(K336,MAX(0,F336-(J336-K336)))</f>
        <v/>
      </c>
    </row>
    <row r="337">
      <c r="A337" t="inlineStr">
        <is>
          <t>HARBOR-OFFICE</t>
        </is>
      </c>
      <c r="B337" t="inlineStr">
        <is>
          <t>2026-09-28</t>
        </is>
      </c>
      <c r="C337" t="n">
        <v>7</v>
      </c>
      <c r="D337" t="n">
        <v>23</v>
      </c>
      <c r="E337" t="n">
        <v>1</v>
      </c>
      <c r="F337" t="n">
        <v>1043</v>
      </c>
      <c r="G337" t="n">
        <v>0</v>
      </c>
      <c r="H337" t="n">
        <v>0</v>
      </c>
      <c r="I337" t="n">
        <v>1265</v>
      </c>
      <c r="J337" t="n">
        <v>1265</v>
      </c>
      <c r="K337" t="n">
        <v>1265</v>
      </c>
      <c r="L337">
        <f>MIN(F337,J337)</f>
        <v/>
      </c>
      <c r="M337">
        <f>MIN(K337,MAX(0,F337-(J337-K337)))</f>
        <v/>
      </c>
    </row>
    <row r="338">
      <c r="A338" t="inlineStr">
        <is>
          <t>CLOUDLINE-DC</t>
        </is>
      </c>
      <c r="B338" t="inlineStr">
        <is>
          <t>2026-09-22</t>
        </is>
      </c>
      <c r="C338" t="n">
        <v>1</v>
      </c>
      <c r="D338" t="n">
        <v>0</v>
      </c>
      <c r="E338" t="n">
        <v>2</v>
      </c>
      <c r="F338" t="n">
        <v>5699</v>
      </c>
      <c r="G338" t="n">
        <v>0</v>
      </c>
      <c r="H338" t="n">
        <v>15794</v>
      </c>
      <c r="I338" t="n">
        <v>0</v>
      </c>
      <c r="J338" t="n">
        <v>15794</v>
      </c>
      <c r="K338" t="n">
        <v>0</v>
      </c>
      <c r="L338">
        <f>MIN(F338,J338)</f>
        <v/>
      </c>
      <c r="M338">
        <f>MIN(K338,MAX(0,F338-(J338-K338)))</f>
        <v/>
      </c>
    </row>
    <row r="339">
      <c r="A339" t="inlineStr">
        <is>
          <t>CLOUDLINE-DC</t>
        </is>
      </c>
      <c r="B339" t="inlineStr">
        <is>
          <t>2026-09-22</t>
        </is>
      </c>
      <c r="C339" t="n">
        <v>1</v>
      </c>
      <c r="D339" t="n">
        <v>1</v>
      </c>
      <c r="E339" t="n">
        <v>2</v>
      </c>
      <c r="F339" t="n">
        <v>5936</v>
      </c>
      <c r="G339" t="n">
        <v>0</v>
      </c>
      <c r="H339" t="n">
        <v>15290</v>
      </c>
      <c r="I339" t="n">
        <v>0</v>
      </c>
      <c r="J339" t="n">
        <v>15290</v>
      </c>
      <c r="K339" t="n">
        <v>0</v>
      </c>
      <c r="L339">
        <f>MIN(F339,J339)</f>
        <v/>
      </c>
      <c r="M339">
        <f>MIN(K339,MAX(0,F339-(J339-K339)))</f>
        <v/>
      </c>
    </row>
    <row r="340">
      <c r="A340" t="inlineStr">
        <is>
          <t>CLOUDLINE-DC</t>
        </is>
      </c>
      <c r="B340" t="inlineStr">
        <is>
          <t>2026-09-22</t>
        </is>
      </c>
      <c r="C340" t="n">
        <v>1</v>
      </c>
      <c r="D340" t="n">
        <v>2</v>
      </c>
      <c r="E340" t="n">
        <v>2</v>
      </c>
      <c r="F340" t="n">
        <v>6174</v>
      </c>
      <c r="G340" t="n">
        <v>0</v>
      </c>
      <c r="H340" t="n">
        <v>14587</v>
      </c>
      <c r="I340" t="n">
        <v>0</v>
      </c>
      <c r="J340" t="n">
        <v>14587</v>
      </c>
      <c r="K340" t="n">
        <v>0</v>
      </c>
      <c r="L340">
        <f>MIN(F340,J340)</f>
        <v/>
      </c>
      <c r="M340">
        <f>MIN(K340,MAX(0,F340-(J340-K340)))</f>
        <v/>
      </c>
    </row>
    <row r="341">
      <c r="A341" t="inlineStr">
        <is>
          <t>CLOUDLINE-DC</t>
        </is>
      </c>
      <c r="B341" t="inlineStr">
        <is>
          <t>2026-09-22</t>
        </is>
      </c>
      <c r="C341" t="n">
        <v>1</v>
      </c>
      <c r="D341" t="n">
        <v>3</v>
      </c>
      <c r="E341" t="n">
        <v>2</v>
      </c>
      <c r="F341" t="n">
        <v>5818</v>
      </c>
      <c r="G341" t="n">
        <v>0</v>
      </c>
      <c r="H341" t="n">
        <v>13994</v>
      </c>
      <c r="I341" t="n">
        <v>0</v>
      </c>
      <c r="J341" t="n">
        <v>13994</v>
      </c>
      <c r="K341" t="n">
        <v>0</v>
      </c>
      <c r="L341">
        <f>MIN(F341,J341)</f>
        <v/>
      </c>
      <c r="M341">
        <f>MIN(K341,MAX(0,F341-(J341-K341)))</f>
        <v/>
      </c>
    </row>
    <row r="342">
      <c r="A342" t="inlineStr">
        <is>
          <t>CLOUDLINE-DC</t>
        </is>
      </c>
      <c r="B342" t="inlineStr">
        <is>
          <t>2026-09-22</t>
        </is>
      </c>
      <c r="C342" t="n">
        <v>1</v>
      </c>
      <c r="D342" t="n">
        <v>4</v>
      </c>
      <c r="E342" t="n">
        <v>2</v>
      </c>
      <c r="F342" t="n">
        <v>6055</v>
      </c>
      <c r="G342" t="n">
        <v>0</v>
      </c>
      <c r="H342" t="n">
        <v>13862</v>
      </c>
      <c r="I342" t="n">
        <v>0</v>
      </c>
      <c r="J342" t="n">
        <v>13862</v>
      </c>
      <c r="K342" t="n">
        <v>0</v>
      </c>
      <c r="L342">
        <f>MIN(F342,J342)</f>
        <v/>
      </c>
      <c r="M342">
        <f>MIN(K342,MAX(0,F342-(J342-K342)))</f>
        <v/>
      </c>
    </row>
    <row r="343">
      <c r="A343" t="inlineStr">
        <is>
          <t>CLOUDLINE-DC</t>
        </is>
      </c>
      <c r="B343" t="inlineStr">
        <is>
          <t>2026-09-22</t>
        </is>
      </c>
      <c r="C343" t="n">
        <v>1</v>
      </c>
      <c r="D343" t="n">
        <v>5</v>
      </c>
      <c r="E343" t="n">
        <v>2</v>
      </c>
      <c r="F343" t="n">
        <v>5699</v>
      </c>
      <c r="G343" t="n">
        <v>0</v>
      </c>
      <c r="H343" t="n">
        <v>15088</v>
      </c>
      <c r="I343" t="n">
        <v>0</v>
      </c>
      <c r="J343" t="n">
        <v>15088</v>
      </c>
      <c r="K343" t="n">
        <v>0</v>
      </c>
      <c r="L343">
        <f>MIN(F343,J343)</f>
        <v/>
      </c>
      <c r="M343">
        <f>MIN(K343,MAX(0,F343-(J343-K343)))</f>
        <v/>
      </c>
    </row>
    <row r="344">
      <c r="A344" t="inlineStr">
        <is>
          <t>CLOUDLINE-DC</t>
        </is>
      </c>
      <c r="B344" t="inlineStr">
        <is>
          <t>2026-09-22</t>
        </is>
      </c>
      <c r="C344" t="n">
        <v>1</v>
      </c>
      <c r="D344" t="n">
        <v>6</v>
      </c>
      <c r="E344" t="n">
        <v>2</v>
      </c>
      <c r="F344" t="n">
        <v>5936</v>
      </c>
      <c r="G344" t="n">
        <v>0</v>
      </c>
      <c r="H344" t="n">
        <v>16342</v>
      </c>
      <c r="I344" t="n">
        <v>0</v>
      </c>
      <c r="J344" t="n">
        <v>16342</v>
      </c>
      <c r="K344" t="n">
        <v>0</v>
      </c>
      <c r="L344">
        <f>MIN(F344,J344)</f>
        <v/>
      </c>
      <c r="M344">
        <f>MIN(K344,MAX(0,F344-(J344-K344)))</f>
        <v/>
      </c>
    </row>
    <row r="345">
      <c r="A345" t="inlineStr">
        <is>
          <t>CLOUDLINE-DC</t>
        </is>
      </c>
      <c r="B345" t="inlineStr">
        <is>
          <t>2026-09-22</t>
        </is>
      </c>
      <c r="C345" t="n">
        <v>1</v>
      </c>
      <c r="D345" t="n">
        <v>7</v>
      </c>
      <c r="E345" t="n">
        <v>2</v>
      </c>
      <c r="F345" t="n">
        <v>6174</v>
      </c>
      <c r="G345" t="n">
        <v>0</v>
      </c>
      <c r="H345" t="n">
        <v>17140</v>
      </c>
      <c r="I345" t="n">
        <v>0</v>
      </c>
      <c r="J345" t="n">
        <v>17140</v>
      </c>
      <c r="K345" t="n">
        <v>0</v>
      </c>
      <c r="L345">
        <f>MIN(F345,J345)</f>
        <v/>
      </c>
      <c r="M345">
        <f>MIN(K345,MAX(0,F345-(J345-K345)))</f>
        <v/>
      </c>
    </row>
    <row r="346">
      <c r="A346" t="inlineStr">
        <is>
          <t>CLOUDLINE-DC</t>
        </is>
      </c>
      <c r="B346" t="inlineStr">
        <is>
          <t>2026-09-22</t>
        </is>
      </c>
      <c r="C346" t="n">
        <v>1</v>
      </c>
      <c r="D346" t="n">
        <v>8</v>
      </c>
      <c r="E346" t="n">
        <v>2</v>
      </c>
      <c r="F346" t="n">
        <v>5818</v>
      </c>
      <c r="G346" t="n">
        <v>0</v>
      </c>
      <c r="H346" t="n">
        <v>16908</v>
      </c>
      <c r="I346" t="n">
        <v>0</v>
      </c>
      <c r="J346" t="n">
        <v>16908</v>
      </c>
      <c r="K346" t="n">
        <v>0</v>
      </c>
      <c r="L346">
        <f>MIN(F346,J346)</f>
        <v/>
      </c>
      <c r="M346">
        <f>MIN(K346,MAX(0,F346-(J346-K346)))</f>
        <v/>
      </c>
    </row>
    <row r="347">
      <c r="A347" t="inlineStr">
        <is>
          <t>CLOUDLINE-DC</t>
        </is>
      </c>
      <c r="B347" t="inlineStr">
        <is>
          <t>2026-09-22</t>
        </is>
      </c>
      <c r="C347" t="n">
        <v>1</v>
      </c>
      <c r="D347" t="n">
        <v>9</v>
      </c>
      <c r="E347" t="n">
        <v>2</v>
      </c>
      <c r="F347" t="n">
        <v>6055</v>
      </c>
      <c r="G347" t="n">
        <v>0</v>
      </c>
      <c r="H347" t="n">
        <v>16422</v>
      </c>
      <c r="I347" t="n">
        <v>0</v>
      </c>
      <c r="J347" t="n">
        <v>16422</v>
      </c>
      <c r="K347" t="n">
        <v>0</v>
      </c>
      <c r="L347">
        <f>MIN(F347,J347)</f>
        <v/>
      </c>
      <c r="M347">
        <f>MIN(K347,MAX(0,F347-(J347-K347)))</f>
        <v/>
      </c>
    </row>
    <row r="348">
      <c r="A348" t="inlineStr">
        <is>
          <t>CLOUDLINE-DC</t>
        </is>
      </c>
      <c r="B348" t="inlineStr">
        <is>
          <t>2026-09-22</t>
        </is>
      </c>
      <c r="C348" t="n">
        <v>1</v>
      </c>
      <c r="D348" t="n">
        <v>10</v>
      </c>
      <c r="E348" t="n">
        <v>2</v>
      </c>
      <c r="F348" t="n">
        <v>5699</v>
      </c>
      <c r="G348" t="n">
        <v>0</v>
      </c>
      <c r="H348" t="n">
        <v>13787</v>
      </c>
      <c r="I348" t="n">
        <v>0</v>
      </c>
      <c r="J348" t="n">
        <v>13787</v>
      </c>
      <c r="K348" t="n">
        <v>0</v>
      </c>
      <c r="L348">
        <f>MIN(F348,J348)</f>
        <v/>
      </c>
      <c r="M348">
        <f>MIN(K348,MAX(0,F348-(J348-K348)))</f>
        <v/>
      </c>
    </row>
    <row r="349">
      <c r="A349" t="inlineStr">
        <is>
          <t>CLOUDLINE-DC</t>
        </is>
      </c>
      <c r="B349" t="inlineStr">
        <is>
          <t>2026-09-22</t>
        </is>
      </c>
      <c r="C349" t="n">
        <v>1</v>
      </c>
      <c r="D349" t="n">
        <v>11</v>
      </c>
      <c r="E349" t="n">
        <v>2</v>
      </c>
      <c r="F349" t="n">
        <v>5936</v>
      </c>
      <c r="G349" t="n">
        <v>0</v>
      </c>
      <c r="H349" t="n">
        <v>11938</v>
      </c>
      <c r="I349" t="n">
        <v>0</v>
      </c>
      <c r="J349" t="n">
        <v>11938</v>
      </c>
      <c r="K349" t="n">
        <v>0</v>
      </c>
      <c r="L349">
        <f>MIN(F349,J349)</f>
        <v/>
      </c>
      <c r="M349">
        <f>MIN(K349,MAX(0,F349-(J349-K349)))</f>
        <v/>
      </c>
    </row>
    <row r="350">
      <c r="A350" t="inlineStr">
        <is>
          <t>CLOUDLINE-DC</t>
        </is>
      </c>
      <c r="B350" t="inlineStr">
        <is>
          <t>2026-09-22</t>
        </is>
      </c>
      <c r="C350" t="n">
        <v>1</v>
      </c>
      <c r="D350" t="n">
        <v>12</v>
      </c>
      <c r="E350" t="n">
        <v>2</v>
      </c>
      <c r="F350" t="n">
        <v>6174</v>
      </c>
      <c r="G350" t="n">
        <v>0</v>
      </c>
      <c r="H350" t="n">
        <v>11744</v>
      </c>
      <c r="I350" t="n">
        <v>0</v>
      </c>
      <c r="J350" t="n">
        <v>11744</v>
      </c>
      <c r="K350" t="n">
        <v>0</v>
      </c>
      <c r="L350">
        <f>MIN(F350,J350)</f>
        <v/>
      </c>
      <c r="M350">
        <f>MIN(K350,MAX(0,F350-(J350-K350)))</f>
        <v/>
      </c>
    </row>
    <row r="351">
      <c r="A351" t="inlineStr">
        <is>
          <t>CLOUDLINE-DC</t>
        </is>
      </c>
      <c r="B351" t="inlineStr">
        <is>
          <t>2026-09-22</t>
        </is>
      </c>
      <c r="C351" t="n">
        <v>1</v>
      </c>
      <c r="D351" t="n">
        <v>13</v>
      </c>
      <c r="E351" t="n">
        <v>2</v>
      </c>
      <c r="F351" t="n">
        <v>5818</v>
      </c>
      <c r="G351" t="n">
        <v>0</v>
      </c>
      <c r="H351" t="n">
        <v>14300</v>
      </c>
      <c r="I351" t="n">
        <v>0</v>
      </c>
      <c r="J351" t="n">
        <v>14300</v>
      </c>
      <c r="K351" t="n">
        <v>0</v>
      </c>
      <c r="L351">
        <f>MIN(F351,J351)</f>
        <v/>
      </c>
      <c r="M351">
        <f>MIN(K351,MAX(0,F351-(J351-K351)))</f>
        <v/>
      </c>
    </row>
    <row r="352">
      <c r="A352" t="inlineStr">
        <is>
          <t>CLOUDLINE-DC</t>
        </is>
      </c>
      <c r="B352" t="inlineStr">
        <is>
          <t>2026-09-22</t>
        </is>
      </c>
      <c r="C352" t="n">
        <v>1</v>
      </c>
      <c r="D352" t="n">
        <v>14</v>
      </c>
      <c r="E352" t="n">
        <v>2</v>
      </c>
      <c r="F352" t="n">
        <v>6055</v>
      </c>
      <c r="G352" t="n">
        <v>0</v>
      </c>
      <c r="H352" t="n">
        <v>16194</v>
      </c>
      <c r="I352" t="n">
        <v>0</v>
      </c>
      <c r="J352" t="n">
        <v>16194</v>
      </c>
      <c r="K352" t="n">
        <v>0</v>
      </c>
      <c r="L352">
        <f>MIN(F352,J352)</f>
        <v/>
      </c>
      <c r="M352">
        <f>MIN(K352,MAX(0,F352-(J352-K352)))</f>
        <v/>
      </c>
    </row>
    <row r="353">
      <c r="A353" t="inlineStr">
        <is>
          <t>CLOUDLINE-DC</t>
        </is>
      </c>
      <c r="B353" t="inlineStr">
        <is>
          <t>2026-09-22</t>
        </is>
      </c>
      <c r="C353" t="n">
        <v>1</v>
      </c>
      <c r="D353" t="n">
        <v>15</v>
      </c>
      <c r="E353" t="n">
        <v>2</v>
      </c>
      <c r="F353" t="n">
        <v>5699</v>
      </c>
      <c r="G353" t="n">
        <v>0</v>
      </c>
      <c r="H353" t="n">
        <v>18384</v>
      </c>
      <c r="I353" t="n">
        <v>0</v>
      </c>
      <c r="J353" t="n">
        <v>18384</v>
      </c>
      <c r="K353" t="n">
        <v>0</v>
      </c>
      <c r="L353">
        <f>MIN(F353,J353)</f>
        <v/>
      </c>
      <c r="M353">
        <f>MIN(K353,MAX(0,F353-(J353-K353)))</f>
        <v/>
      </c>
    </row>
    <row r="354">
      <c r="A354" t="inlineStr">
        <is>
          <t>CLOUDLINE-DC</t>
        </is>
      </c>
      <c r="B354" t="inlineStr">
        <is>
          <t>2026-09-22</t>
        </is>
      </c>
      <c r="C354" t="n">
        <v>1</v>
      </c>
      <c r="D354" t="n">
        <v>16</v>
      </c>
      <c r="E354" t="n">
        <v>2</v>
      </c>
      <c r="F354" t="n">
        <v>5936</v>
      </c>
      <c r="G354" t="n">
        <v>0</v>
      </c>
      <c r="H354" t="n">
        <v>19368</v>
      </c>
      <c r="I354" t="n">
        <v>0</v>
      </c>
      <c r="J354" t="n">
        <v>19368</v>
      </c>
      <c r="K354" t="n">
        <v>0</v>
      </c>
      <c r="L354">
        <f>MIN(F354,J354)</f>
        <v/>
      </c>
      <c r="M354">
        <f>MIN(K354,MAX(0,F354-(J354-K354)))</f>
        <v/>
      </c>
    </row>
    <row r="355">
      <c r="A355" t="inlineStr">
        <is>
          <t>CLOUDLINE-DC</t>
        </is>
      </c>
      <c r="B355" t="inlineStr">
        <is>
          <t>2026-09-22</t>
        </is>
      </c>
      <c r="C355" t="n">
        <v>1</v>
      </c>
      <c r="D355" t="n">
        <v>17</v>
      </c>
      <c r="E355" t="n">
        <v>2</v>
      </c>
      <c r="F355" t="n">
        <v>6174</v>
      </c>
      <c r="G355" t="n">
        <v>0</v>
      </c>
      <c r="H355" t="n">
        <v>19578</v>
      </c>
      <c r="I355" t="n">
        <v>0</v>
      </c>
      <c r="J355" t="n">
        <v>19578</v>
      </c>
      <c r="K355" t="n">
        <v>0</v>
      </c>
      <c r="L355">
        <f>MIN(F355,J355)</f>
        <v/>
      </c>
      <c r="M355">
        <f>MIN(K355,MAX(0,F355-(J355-K355)))</f>
        <v/>
      </c>
    </row>
    <row r="356">
      <c r="A356" t="inlineStr">
        <is>
          <t>CLOUDLINE-DC</t>
        </is>
      </c>
      <c r="B356" t="inlineStr">
        <is>
          <t>2026-09-22</t>
        </is>
      </c>
      <c r="C356" t="n">
        <v>1</v>
      </c>
      <c r="D356" t="n">
        <v>18</v>
      </c>
      <c r="E356" t="n">
        <v>2</v>
      </c>
      <c r="F356" t="n">
        <v>5818</v>
      </c>
      <c r="G356" t="n">
        <v>0</v>
      </c>
      <c r="H356" t="n">
        <v>20000</v>
      </c>
      <c r="I356" t="n">
        <v>0</v>
      </c>
      <c r="J356" t="n">
        <v>20000</v>
      </c>
      <c r="K356" t="n">
        <v>0</v>
      </c>
      <c r="L356">
        <f>MIN(F356,J356)</f>
        <v/>
      </c>
      <c r="M356">
        <f>MIN(K356,MAX(0,F356-(J356-K356)))</f>
        <v/>
      </c>
    </row>
    <row r="357">
      <c r="A357" t="inlineStr">
        <is>
          <t>CLOUDLINE-DC</t>
        </is>
      </c>
      <c r="B357" t="inlineStr">
        <is>
          <t>2026-09-22</t>
        </is>
      </c>
      <c r="C357" t="n">
        <v>1</v>
      </c>
      <c r="D357" t="n">
        <v>19</v>
      </c>
      <c r="E357" t="n">
        <v>2</v>
      </c>
      <c r="F357" t="n">
        <v>6055</v>
      </c>
      <c r="G357" t="n">
        <v>0</v>
      </c>
      <c r="H357" t="n">
        <v>19027</v>
      </c>
      <c r="I357" t="n">
        <v>0</v>
      </c>
      <c r="J357" t="n">
        <v>19027</v>
      </c>
      <c r="K357" t="n">
        <v>0</v>
      </c>
      <c r="L357">
        <f>MIN(F357,J357)</f>
        <v/>
      </c>
      <c r="M357">
        <f>MIN(K357,MAX(0,F357-(J357-K357)))</f>
        <v/>
      </c>
    </row>
    <row r="358">
      <c r="A358" t="inlineStr">
        <is>
          <t>CLOUDLINE-DC</t>
        </is>
      </c>
      <c r="B358" t="inlineStr">
        <is>
          <t>2026-09-22</t>
        </is>
      </c>
      <c r="C358" t="n">
        <v>1</v>
      </c>
      <c r="D358" t="n">
        <v>20</v>
      </c>
      <c r="E358" t="n">
        <v>2</v>
      </c>
      <c r="F358" t="n">
        <v>5699</v>
      </c>
      <c r="G358" t="n">
        <v>0</v>
      </c>
      <c r="H358" t="n">
        <v>16081</v>
      </c>
      <c r="I358" t="n">
        <v>0</v>
      </c>
      <c r="J358" t="n">
        <v>16081</v>
      </c>
      <c r="K358" t="n">
        <v>0</v>
      </c>
      <c r="L358">
        <f>MIN(F358,J358)</f>
        <v/>
      </c>
      <c r="M358">
        <f>MIN(K358,MAX(0,F358-(J358-K358)))</f>
        <v/>
      </c>
    </row>
    <row r="359">
      <c r="A359" t="inlineStr">
        <is>
          <t>CLOUDLINE-DC</t>
        </is>
      </c>
      <c r="B359" t="inlineStr">
        <is>
          <t>2026-09-22</t>
        </is>
      </c>
      <c r="C359" t="n">
        <v>1</v>
      </c>
      <c r="D359" t="n">
        <v>21</v>
      </c>
      <c r="E359" t="n">
        <v>2</v>
      </c>
      <c r="F359" t="n">
        <v>5936</v>
      </c>
      <c r="G359" t="n">
        <v>0</v>
      </c>
      <c r="H359" t="n">
        <v>12328</v>
      </c>
      <c r="I359" t="n">
        <v>0</v>
      </c>
      <c r="J359" t="n">
        <v>12328</v>
      </c>
      <c r="K359" t="n">
        <v>0</v>
      </c>
      <c r="L359">
        <f>MIN(F359,J359)</f>
        <v/>
      </c>
      <c r="M359">
        <f>MIN(K359,MAX(0,F359-(J359-K359)))</f>
        <v/>
      </c>
    </row>
    <row r="360">
      <c r="A360" t="inlineStr">
        <is>
          <t>CLOUDLINE-DC</t>
        </is>
      </c>
      <c r="B360" t="inlineStr">
        <is>
          <t>2026-09-22</t>
        </is>
      </c>
      <c r="C360" t="n">
        <v>1</v>
      </c>
      <c r="D360" t="n">
        <v>22</v>
      </c>
      <c r="E360" t="n">
        <v>2</v>
      </c>
      <c r="F360" t="n">
        <v>6174</v>
      </c>
      <c r="G360" t="n">
        <v>0</v>
      </c>
      <c r="H360" t="n">
        <v>8229</v>
      </c>
      <c r="I360" t="n">
        <v>0</v>
      </c>
      <c r="J360" t="n">
        <v>8229</v>
      </c>
      <c r="K360" t="n">
        <v>0</v>
      </c>
      <c r="L360">
        <f>MIN(F360,J360)</f>
        <v/>
      </c>
      <c r="M360">
        <f>MIN(K360,MAX(0,F360-(J360-K360)))</f>
        <v/>
      </c>
    </row>
    <row r="361">
      <c r="A361" t="inlineStr">
        <is>
          <t>CLOUDLINE-DC</t>
        </is>
      </c>
      <c r="B361" t="inlineStr">
        <is>
          <t>2026-09-22</t>
        </is>
      </c>
      <c r="C361" t="n">
        <v>1</v>
      </c>
      <c r="D361" t="n">
        <v>23</v>
      </c>
      <c r="E361" t="n">
        <v>2</v>
      </c>
      <c r="F361" t="n">
        <v>5818</v>
      </c>
      <c r="G361" t="n">
        <v>0</v>
      </c>
      <c r="H361" t="n">
        <v>6529</v>
      </c>
      <c r="I361" t="n">
        <v>0</v>
      </c>
      <c r="J361" t="n">
        <v>6529</v>
      </c>
      <c r="K361" t="n">
        <v>0</v>
      </c>
      <c r="L361">
        <f>MIN(F361,J361)</f>
        <v/>
      </c>
      <c r="M361">
        <f>MIN(K361,MAX(0,F361-(J361-K361)))</f>
        <v/>
      </c>
    </row>
    <row r="362">
      <c r="A362" t="inlineStr">
        <is>
          <t>CLOUDLINE-DC</t>
        </is>
      </c>
      <c r="B362" t="inlineStr">
        <is>
          <t>2026-09-23</t>
        </is>
      </c>
      <c r="C362" t="n">
        <v>2</v>
      </c>
      <c r="D362" t="n">
        <v>0</v>
      </c>
      <c r="E362" t="n">
        <v>3</v>
      </c>
      <c r="F362" t="n">
        <v>6055</v>
      </c>
      <c r="G362" t="n">
        <v>0</v>
      </c>
      <c r="H362" t="n">
        <v>6642</v>
      </c>
      <c r="I362" t="n">
        <v>0</v>
      </c>
      <c r="J362" t="n">
        <v>6642</v>
      </c>
      <c r="K362" t="n">
        <v>0</v>
      </c>
      <c r="L362">
        <f>MIN(F362,J362)</f>
        <v/>
      </c>
      <c r="M362">
        <f>MIN(K362,MAX(0,F362-(J362-K362)))</f>
        <v/>
      </c>
    </row>
    <row r="363">
      <c r="A363" t="inlineStr">
        <is>
          <t>CLOUDLINE-DC</t>
        </is>
      </c>
      <c r="B363" t="inlineStr">
        <is>
          <t>2026-09-23</t>
        </is>
      </c>
      <c r="C363" t="n">
        <v>2</v>
      </c>
      <c r="D363" t="n">
        <v>1</v>
      </c>
      <c r="E363" t="n">
        <v>3</v>
      </c>
      <c r="F363" t="n">
        <v>5699</v>
      </c>
      <c r="G363" t="n">
        <v>0</v>
      </c>
      <c r="H363" t="n">
        <v>7644</v>
      </c>
      <c r="I363" t="n">
        <v>0</v>
      </c>
      <c r="J363" t="n">
        <v>7644</v>
      </c>
      <c r="K363" t="n">
        <v>0</v>
      </c>
      <c r="L363">
        <f>MIN(F363,J363)</f>
        <v/>
      </c>
      <c r="M363">
        <f>MIN(K363,MAX(0,F363-(J363-K363)))</f>
        <v/>
      </c>
    </row>
    <row r="364">
      <c r="A364" t="inlineStr">
        <is>
          <t>CLOUDLINE-DC</t>
        </is>
      </c>
      <c r="B364" t="inlineStr">
        <is>
          <t>2026-09-23</t>
        </is>
      </c>
      <c r="C364" t="n">
        <v>2</v>
      </c>
      <c r="D364" t="n">
        <v>2</v>
      </c>
      <c r="E364" t="n">
        <v>3</v>
      </c>
      <c r="F364" t="n">
        <v>5936</v>
      </c>
      <c r="G364" t="n">
        <v>0</v>
      </c>
      <c r="H364" t="n">
        <v>8197</v>
      </c>
      <c r="I364" t="n">
        <v>0</v>
      </c>
      <c r="J364" t="n">
        <v>8197</v>
      </c>
      <c r="K364" t="n">
        <v>0</v>
      </c>
      <c r="L364">
        <f>MIN(F364,J364)</f>
        <v/>
      </c>
      <c r="M364">
        <f>MIN(K364,MAX(0,F364-(J364-K364)))</f>
        <v/>
      </c>
    </row>
    <row r="365">
      <c r="A365" t="inlineStr">
        <is>
          <t>CLOUDLINE-DC</t>
        </is>
      </c>
      <c r="B365" t="inlineStr">
        <is>
          <t>2026-09-23</t>
        </is>
      </c>
      <c r="C365" t="n">
        <v>2</v>
      </c>
      <c r="D365" t="n">
        <v>3</v>
      </c>
      <c r="E365" t="n">
        <v>3</v>
      </c>
      <c r="F365" t="n">
        <v>6174</v>
      </c>
      <c r="G365" t="n">
        <v>0</v>
      </c>
      <c r="H365" t="n">
        <v>10234</v>
      </c>
      <c r="I365" t="n">
        <v>0</v>
      </c>
      <c r="J365" t="n">
        <v>10234</v>
      </c>
      <c r="K365" t="n">
        <v>0</v>
      </c>
      <c r="L365">
        <f>MIN(F365,J365)</f>
        <v/>
      </c>
      <c r="M365">
        <f>MIN(K365,MAX(0,F365-(J365-K365)))</f>
        <v/>
      </c>
    </row>
    <row r="366">
      <c r="A366" t="inlineStr">
        <is>
          <t>CLOUDLINE-DC</t>
        </is>
      </c>
      <c r="B366" t="inlineStr">
        <is>
          <t>2026-09-23</t>
        </is>
      </c>
      <c r="C366" t="n">
        <v>2</v>
      </c>
      <c r="D366" t="n">
        <v>4</v>
      </c>
      <c r="E366" t="n">
        <v>3</v>
      </c>
      <c r="F366" t="n">
        <v>5818</v>
      </c>
      <c r="G366" t="n">
        <v>0</v>
      </c>
      <c r="H366" t="n">
        <v>11013</v>
      </c>
      <c r="I366" t="n">
        <v>0</v>
      </c>
      <c r="J366" t="n">
        <v>11013</v>
      </c>
      <c r="K366" t="n">
        <v>0</v>
      </c>
      <c r="L366">
        <f>MIN(F366,J366)</f>
        <v/>
      </c>
      <c r="M366">
        <f>MIN(K366,MAX(0,F366-(J366-K366)))</f>
        <v/>
      </c>
    </row>
    <row r="367">
      <c r="A367" t="inlineStr">
        <is>
          <t>CLOUDLINE-DC</t>
        </is>
      </c>
      <c r="B367" t="inlineStr">
        <is>
          <t>2026-09-23</t>
        </is>
      </c>
      <c r="C367" t="n">
        <v>2</v>
      </c>
      <c r="D367" t="n">
        <v>5</v>
      </c>
      <c r="E367" t="n">
        <v>3</v>
      </c>
      <c r="F367" t="n">
        <v>6055</v>
      </c>
      <c r="G367" t="n">
        <v>0</v>
      </c>
      <c r="H367" t="n">
        <v>10804</v>
      </c>
      <c r="I367" t="n">
        <v>0</v>
      </c>
      <c r="J367" t="n">
        <v>10804</v>
      </c>
      <c r="K367" t="n">
        <v>0</v>
      </c>
      <c r="L367">
        <f>MIN(F367,J367)</f>
        <v/>
      </c>
      <c r="M367">
        <f>MIN(K367,MAX(0,F367-(J367-K367)))</f>
        <v/>
      </c>
    </row>
    <row r="368">
      <c r="A368" t="inlineStr">
        <is>
          <t>CLOUDLINE-DC</t>
        </is>
      </c>
      <c r="B368" t="inlineStr">
        <is>
          <t>2026-09-23</t>
        </is>
      </c>
      <c r="C368" t="n">
        <v>2</v>
      </c>
      <c r="D368" t="n">
        <v>6</v>
      </c>
      <c r="E368" t="n">
        <v>3</v>
      </c>
      <c r="F368" t="n">
        <v>5699</v>
      </c>
      <c r="G368" t="n">
        <v>0</v>
      </c>
      <c r="H368" t="n">
        <v>9795</v>
      </c>
      <c r="I368" t="n">
        <v>0</v>
      </c>
      <c r="J368" t="n">
        <v>9795</v>
      </c>
      <c r="K368" t="n">
        <v>0</v>
      </c>
      <c r="L368">
        <f>MIN(F368,J368)</f>
        <v/>
      </c>
      <c r="M368">
        <f>MIN(K368,MAX(0,F368-(J368-K368)))</f>
        <v/>
      </c>
    </row>
    <row r="369">
      <c r="A369" t="inlineStr">
        <is>
          <t>CLOUDLINE-DC</t>
        </is>
      </c>
      <c r="B369" t="inlineStr">
        <is>
          <t>2026-09-23</t>
        </is>
      </c>
      <c r="C369" t="n">
        <v>2</v>
      </c>
      <c r="D369" t="n">
        <v>7</v>
      </c>
      <c r="E369" t="n">
        <v>3</v>
      </c>
      <c r="F369" t="n">
        <v>5936</v>
      </c>
      <c r="G369" t="n">
        <v>0</v>
      </c>
      <c r="H369" t="n">
        <v>8793</v>
      </c>
      <c r="I369" t="n">
        <v>0</v>
      </c>
      <c r="J369" t="n">
        <v>8793</v>
      </c>
      <c r="K369" t="n">
        <v>0</v>
      </c>
      <c r="L369">
        <f>MIN(F369,J369)</f>
        <v/>
      </c>
      <c r="M369">
        <f>MIN(K369,MAX(0,F369-(J369-K369)))</f>
        <v/>
      </c>
    </row>
    <row r="370">
      <c r="A370" t="inlineStr">
        <is>
          <t>CLOUDLINE-DC</t>
        </is>
      </c>
      <c r="B370" t="inlineStr">
        <is>
          <t>2026-09-23</t>
        </is>
      </c>
      <c r="C370" t="n">
        <v>2</v>
      </c>
      <c r="D370" t="n">
        <v>8</v>
      </c>
      <c r="E370" t="n">
        <v>3</v>
      </c>
      <c r="F370" t="n">
        <v>6174</v>
      </c>
      <c r="G370" t="n">
        <v>0</v>
      </c>
      <c r="H370" t="n">
        <v>8840</v>
      </c>
      <c r="I370" t="n">
        <v>0</v>
      </c>
      <c r="J370" t="n">
        <v>8840</v>
      </c>
      <c r="K370" t="n">
        <v>0</v>
      </c>
      <c r="L370">
        <f>MIN(F370,J370)</f>
        <v/>
      </c>
      <c r="M370">
        <f>MIN(K370,MAX(0,F370-(J370-K370)))</f>
        <v/>
      </c>
    </row>
    <row r="371">
      <c r="A371" t="inlineStr">
        <is>
          <t>CLOUDLINE-DC</t>
        </is>
      </c>
      <c r="B371" t="inlineStr">
        <is>
          <t>2026-09-23</t>
        </is>
      </c>
      <c r="C371" t="n">
        <v>2</v>
      </c>
      <c r="D371" t="n">
        <v>9</v>
      </c>
      <c r="E371" t="n">
        <v>3</v>
      </c>
      <c r="F371" t="n">
        <v>5818</v>
      </c>
      <c r="G371" t="n">
        <v>0</v>
      </c>
      <c r="H371" t="n">
        <v>8408</v>
      </c>
      <c r="I371" t="n">
        <v>0</v>
      </c>
      <c r="J371" t="n">
        <v>8408</v>
      </c>
      <c r="K371" t="n">
        <v>0</v>
      </c>
      <c r="L371">
        <f>MIN(F371,J371)</f>
        <v/>
      </c>
      <c r="M371">
        <f>MIN(K371,MAX(0,F371-(J371-K371)))</f>
        <v/>
      </c>
    </row>
    <row r="372">
      <c r="A372" t="inlineStr">
        <is>
          <t>CLOUDLINE-DC</t>
        </is>
      </c>
      <c r="B372" t="inlineStr">
        <is>
          <t>2026-09-23</t>
        </is>
      </c>
      <c r="C372" t="n">
        <v>2</v>
      </c>
      <c r="D372" t="n">
        <v>10</v>
      </c>
      <c r="E372" t="n">
        <v>3</v>
      </c>
      <c r="F372" t="n">
        <v>6055</v>
      </c>
      <c r="G372" t="n">
        <v>0</v>
      </c>
      <c r="H372" t="n">
        <v>7747</v>
      </c>
      <c r="I372" t="n">
        <v>0</v>
      </c>
      <c r="J372" t="n">
        <v>7747</v>
      </c>
      <c r="K372" t="n">
        <v>0</v>
      </c>
      <c r="L372">
        <f>MIN(F372,J372)</f>
        <v/>
      </c>
      <c r="M372">
        <f>MIN(K372,MAX(0,F372-(J372-K372)))</f>
        <v/>
      </c>
    </row>
    <row r="373">
      <c r="A373" t="inlineStr">
        <is>
          <t>CLOUDLINE-DC</t>
        </is>
      </c>
      <c r="B373" t="inlineStr">
        <is>
          <t>2026-09-23</t>
        </is>
      </c>
      <c r="C373" t="n">
        <v>2</v>
      </c>
      <c r="D373" t="n">
        <v>11</v>
      </c>
      <c r="E373" t="n">
        <v>3</v>
      </c>
      <c r="F373" t="n">
        <v>5699</v>
      </c>
      <c r="G373" t="n">
        <v>0</v>
      </c>
      <c r="H373" t="n">
        <v>7791</v>
      </c>
      <c r="I373" t="n">
        <v>0</v>
      </c>
      <c r="J373" t="n">
        <v>7791</v>
      </c>
      <c r="K373" t="n">
        <v>0</v>
      </c>
      <c r="L373">
        <f>MIN(F373,J373)</f>
        <v/>
      </c>
      <c r="M373">
        <f>MIN(K373,MAX(0,F373-(J373-K373)))</f>
        <v/>
      </c>
    </row>
    <row r="374">
      <c r="A374" t="inlineStr">
        <is>
          <t>CLOUDLINE-DC</t>
        </is>
      </c>
      <c r="B374" t="inlineStr">
        <is>
          <t>2026-09-23</t>
        </is>
      </c>
      <c r="C374" t="n">
        <v>2</v>
      </c>
      <c r="D374" t="n">
        <v>12</v>
      </c>
      <c r="E374" t="n">
        <v>3</v>
      </c>
      <c r="F374" t="n">
        <v>5936</v>
      </c>
      <c r="G374" t="n">
        <v>0</v>
      </c>
      <c r="H374" t="n">
        <v>9203</v>
      </c>
      <c r="I374" t="n">
        <v>0</v>
      </c>
      <c r="J374" t="n">
        <v>9203</v>
      </c>
      <c r="K374" t="n">
        <v>0</v>
      </c>
      <c r="L374">
        <f>MIN(F374,J374)</f>
        <v/>
      </c>
      <c r="M374">
        <f>MIN(K374,MAX(0,F374-(J374-K374)))</f>
        <v/>
      </c>
    </row>
    <row r="375">
      <c r="A375" t="inlineStr">
        <is>
          <t>CLOUDLINE-DC</t>
        </is>
      </c>
      <c r="B375" t="inlineStr">
        <is>
          <t>2026-09-23</t>
        </is>
      </c>
      <c r="C375" t="n">
        <v>2</v>
      </c>
      <c r="D375" t="n">
        <v>13</v>
      </c>
      <c r="E375" t="n">
        <v>3</v>
      </c>
      <c r="F375" t="n">
        <v>6174</v>
      </c>
      <c r="G375" t="n">
        <v>0</v>
      </c>
      <c r="H375" t="n">
        <v>11364</v>
      </c>
      <c r="I375" t="n">
        <v>0</v>
      </c>
      <c r="J375" t="n">
        <v>11364</v>
      </c>
      <c r="K375" t="n">
        <v>0</v>
      </c>
      <c r="L375">
        <f>MIN(F375,J375)</f>
        <v/>
      </c>
      <c r="M375">
        <f>MIN(K375,MAX(0,F375-(J375-K375)))</f>
        <v/>
      </c>
    </row>
    <row r="376">
      <c r="A376" t="inlineStr">
        <is>
          <t>CLOUDLINE-DC</t>
        </is>
      </c>
      <c r="B376" t="inlineStr">
        <is>
          <t>2026-09-23</t>
        </is>
      </c>
      <c r="C376" t="n">
        <v>2</v>
      </c>
      <c r="D376" t="n">
        <v>14</v>
      </c>
      <c r="E376" t="n">
        <v>3</v>
      </c>
      <c r="F376" t="n">
        <v>5818</v>
      </c>
      <c r="G376" t="n">
        <v>0</v>
      </c>
      <c r="H376" t="n">
        <v>13397</v>
      </c>
      <c r="I376" t="n">
        <v>0</v>
      </c>
      <c r="J376" t="n">
        <v>13397</v>
      </c>
      <c r="K376" t="n">
        <v>0</v>
      </c>
      <c r="L376">
        <f>MIN(F376,J376)</f>
        <v/>
      </c>
      <c r="M376">
        <f>MIN(K376,MAX(0,F376-(J376-K376)))</f>
        <v/>
      </c>
    </row>
    <row r="377">
      <c r="A377" t="inlineStr">
        <is>
          <t>CLOUDLINE-DC</t>
        </is>
      </c>
      <c r="B377" t="inlineStr">
        <is>
          <t>2026-09-23</t>
        </is>
      </c>
      <c r="C377" t="n">
        <v>2</v>
      </c>
      <c r="D377" t="n">
        <v>15</v>
      </c>
      <c r="E377" t="n">
        <v>3</v>
      </c>
      <c r="F377" t="n">
        <v>6055</v>
      </c>
      <c r="G377" t="n">
        <v>0</v>
      </c>
      <c r="H377" t="n">
        <v>14317</v>
      </c>
      <c r="I377" t="n">
        <v>0</v>
      </c>
      <c r="J377" t="n">
        <v>14317</v>
      </c>
      <c r="K377" t="n">
        <v>0</v>
      </c>
      <c r="L377">
        <f>MIN(F377,J377)</f>
        <v/>
      </c>
      <c r="M377">
        <f>MIN(K377,MAX(0,F377-(J377-K377)))</f>
        <v/>
      </c>
    </row>
    <row r="378">
      <c r="A378" t="inlineStr">
        <is>
          <t>CLOUDLINE-DC</t>
        </is>
      </c>
      <c r="B378" t="inlineStr">
        <is>
          <t>2026-09-23</t>
        </is>
      </c>
      <c r="C378" t="n">
        <v>2</v>
      </c>
      <c r="D378" t="n">
        <v>16</v>
      </c>
      <c r="E378" t="n">
        <v>3</v>
      </c>
      <c r="F378" t="n">
        <v>5699</v>
      </c>
      <c r="G378" t="n">
        <v>0</v>
      </c>
      <c r="H378" t="n">
        <v>15750</v>
      </c>
      <c r="I378" t="n">
        <v>0</v>
      </c>
      <c r="J378" t="n">
        <v>15750</v>
      </c>
      <c r="K378" t="n">
        <v>0</v>
      </c>
      <c r="L378">
        <f>MIN(F378,J378)</f>
        <v/>
      </c>
      <c r="M378">
        <f>MIN(K378,MAX(0,F378-(J378-K378)))</f>
        <v/>
      </c>
    </row>
    <row r="379">
      <c r="A379" t="inlineStr">
        <is>
          <t>CLOUDLINE-DC</t>
        </is>
      </c>
      <c r="B379" t="inlineStr">
        <is>
          <t>2026-09-23</t>
        </is>
      </c>
      <c r="C379" t="n">
        <v>2</v>
      </c>
      <c r="D379" t="n">
        <v>17</v>
      </c>
      <c r="E379" t="n">
        <v>3</v>
      </c>
      <c r="F379" t="n">
        <v>5936</v>
      </c>
      <c r="G379" t="n">
        <v>0</v>
      </c>
      <c r="H379" t="n">
        <v>16085</v>
      </c>
      <c r="I379" t="n">
        <v>0</v>
      </c>
      <c r="J379" t="n">
        <v>16085</v>
      </c>
      <c r="K379" t="n">
        <v>0</v>
      </c>
      <c r="L379">
        <f>MIN(F379,J379)</f>
        <v/>
      </c>
      <c r="M379">
        <f>MIN(K379,MAX(0,F379-(J379-K379)))</f>
        <v/>
      </c>
    </row>
    <row r="380">
      <c r="A380" t="inlineStr">
        <is>
          <t>CLOUDLINE-DC</t>
        </is>
      </c>
      <c r="B380" t="inlineStr">
        <is>
          <t>2026-09-23</t>
        </is>
      </c>
      <c r="C380" t="n">
        <v>2</v>
      </c>
      <c r="D380" t="n">
        <v>18</v>
      </c>
      <c r="E380" t="n">
        <v>3</v>
      </c>
      <c r="F380" t="n">
        <v>6174</v>
      </c>
      <c r="G380" t="n">
        <v>0</v>
      </c>
      <c r="H380" t="n">
        <v>16042</v>
      </c>
      <c r="I380" t="n">
        <v>0</v>
      </c>
      <c r="J380" t="n">
        <v>16042</v>
      </c>
      <c r="K380" t="n">
        <v>0</v>
      </c>
      <c r="L380">
        <f>MIN(F380,J380)</f>
        <v/>
      </c>
      <c r="M380">
        <f>MIN(K380,MAX(0,F380-(J380-K380)))</f>
        <v/>
      </c>
    </row>
    <row r="381">
      <c r="A381" t="inlineStr">
        <is>
          <t>CLOUDLINE-DC</t>
        </is>
      </c>
      <c r="B381" t="inlineStr">
        <is>
          <t>2026-09-23</t>
        </is>
      </c>
      <c r="C381" t="n">
        <v>2</v>
      </c>
      <c r="D381" t="n">
        <v>19</v>
      </c>
      <c r="E381" t="n">
        <v>3</v>
      </c>
      <c r="F381" t="n">
        <v>5818</v>
      </c>
      <c r="G381" t="n">
        <v>0</v>
      </c>
      <c r="H381" t="n">
        <v>15275</v>
      </c>
      <c r="I381" t="n">
        <v>0</v>
      </c>
      <c r="J381" t="n">
        <v>15275</v>
      </c>
      <c r="K381" t="n">
        <v>0</v>
      </c>
      <c r="L381">
        <f>MIN(F381,J381)</f>
        <v/>
      </c>
      <c r="M381">
        <f>MIN(K381,MAX(0,F381-(J381-K381)))</f>
        <v/>
      </c>
    </row>
    <row r="382">
      <c r="A382" t="inlineStr">
        <is>
          <t>CLOUDLINE-DC</t>
        </is>
      </c>
      <c r="B382" t="inlineStr">
        <is>
          <t>2026-09-23</t>
        </is>
      </c>
      <c r="C382" t="n">
        <v>2</v>
      </c>
      <c r="D382" t="n">
        <v>20</v>
      </c>
      <c r="E382" t="n">
        <v>3</v>
      </c>
      <c r="F382" t="n">
        <v>6055</v>
      </c>
      <c r="G382" t="n">
        <v>0</v>
      </c>
      <c r="H382" t="n">
        <v>13284</v>
      </c>
      <c r="I382" t="n">
        <v>0</v>
      </c>
      <c r="J382" t="n">
        <v>13284</v>
      </c>
      <c r="K382" t="n">
        <v>0</v>
      </c>
      <c r="L382">
        <f>MIN(F382,J382)</f>
        <v/>
      </c>
      <c r="M382">
        <f>MIN(K382,MAX(0,F382-(J382-K382)))</f>
        <v/>
      </c>
    </row>
    <row r="383">
      <c r="A383" t="inlineStr">
        <is>
          <t>CLOUDLINE-DC</t>
        </is>
      </c>
      <c r="B383" t="inlineStr">
        <is>
          <t>2026-09-23</t>
        </is>
      </c>
      <c r="C383" t="n">
        <v>2</v>
      </c>
      <c r="D383" t="n">
        <v>21</v>
      </c>
      <c r="E383" t="n">
        <v>3</v>
      </c>
      <c r="F383" t="n">
        <v>5699</v>
      </c>
      <c r="G383" t="n">
        <v>0</v>
      </c>
      <c r="H383" t="n">
        <v>11135</v>
      </c>
      <c r="I383" t="n">
        <v>0</v>
      </c>
      <c r="J383" t="n">
        <v>11135</v>
      </c>
      <c r="K383" t="n">
        <v>0</v>
      </c>
      <c r="L383">
        <f>MIN(F383,J383)</f>
        <v/>
      </c>
      <c r="M383">
        <f>MIN(K383,MAX(0,F383-(J383-K383)))</f>
        <v/>
      </c>
    </row>
    <row r="384">
      <c r="A384" t="inlineStr">
        <is>
          <t>CLOUDLINE-DC</t>
        </is>
      </c>
      <c r="B384" t="inlineStr">
        <is>
          <t>2026-09-23</t>
        </is>
      </c>
      <c r="C384" t="n">
        <v>2</v>
      </c>
      <c r="D384" t="n">
        <v>22</v>
      </c>
      <c r="E384" t="n">
        <v>3</v>
      </c>
      <c r="F384" t="n">
        <v>5936</v>
      </c>
      <c r="G384" t="n">
        <v>0</v>
      </c>
      <c r="H384" t="n">
        <v>10012</v>
      </c>
      <c r="I384" t="n">
        <v>0</v>
      </c>
      <c r="J384" t="n">
        <v>10012</v>
      </c>
      <c r="K384" t="n">
        <v>0</v>
      </c>
      <c r="L384">
        <f>MIN(F384,J384)</f>
        <v/>
      </c>
      <c r="M384">
        <f>MIN(K384,MAX(0,F384-(J384-K384)))</f>
        <v/>
      </c>
    </row>
    <row r="385">
      <c r="A385" t="inlineStr">
        <is>
          <t>CLOUDLINE-DC</t>
        </is>
      </c>
      <c r="B385" t="inlineStr">
        <is>
          <t>2026-09-23</t>
        </is>
      </c>
      <c r="C385" t="n">
        <v>2</v>
      </c>
      <c r="D385" t="n">
        <v>23</v>
      </c>
      <c r="E385" t="n">
        <v>3</v>
      </c>
      <c r="F385" t="n">
        <v>6174</v>
      </c>
      <c r="G385" t="n">
        <v>0</v>
      </c>
      <c r="H385" t="n">
        <v>7757</v>
      </c>
      <c r="I385" t="n">
        <v>0</v>
      </c>
      <c r="J385" t="n">
        <v>7757</v>
      </c>
      <c r="K385" t="n">
        <v>0</v>
      </c>
      <c r="L385">
        <f>MIN(F385,J385)</f>
        <v/>
      </c>
      <c r="M385">
        <f>MIN(K385,MAX(0,F385-(J385-K385)))</f>
        <v/>
      </c>
    </row>
    <row r="386">
      <c r="A386" t="inlineStr">
        <is>
          <t>CLOUDLINE-DC</t>
        </is>
      </c>
      <c r="B386" t="inlineStr">
        <is>
          <t>2026-09-24</t>
        </is>
      </c>
      <c r="C386" t="n">
        <v>3</v>
      </c>
      <c r="D386" t="n">
        <v>0</v>
      </c>
      <c r="E386" t="n">
        <v>4</v>
      </c>
      <c r="F386" t="n">
        <v>5818</v>
      </c>
      <c r="G386" t="n">
        <v>0</v>
      </c>
      <c r="H386" t="n">
        <v>7424</v>
      </c>
      <c r="I386" t="n">
        <v>0</v>
      </c>
      <c r="J386" t="n">
        <v>7424</v>
      </c>
      <c r="K386" t="n">
        <v>0</v>
      </c>
      <c r="L386">
        <f>MIN(F386,J386)</f>
        <v/>
      </c>
      <c r="M386">
        <f>MIN(K386,MAX(0,F386-(J386-K386)))</f>
        <v/>
      </c>
    </row>
    <row r="387">
      <c r="A387" t="inlineStr">
        <is>
          <t>CLOUDLINE-DC</t>
        </is>
      </c>
      <c r="B387" t="inlineStr">
        <is>
          <t>2026-09-24</t>
        </is>
      </c>
      <c r="C387" t="n">
        <v>3</v>
      </c>
      <c r="D387" t="n">
        <v>1</v>
      </c>
      <c r="E387" t="n">
        <v>4</v>
      </c>
      <c r="F387" t="n">
        <v>6055</v>
      </c>
      <c r="G387" t="n">
        <v>0</v>
      </c>
      <c r="H387" t="n">
        <v>8235</v>
      </c>
      <c r="I387" t="n">
        <v>0</v>
      </c>
      <c r="J387" t="n">
        <v>8235</v>
      </c>
      <c r="K387" t="n">
        <v>0</v>
      </c>
      <c r="L387">
        <f>MIN(F387,J387)</f>
        <v/>
      </c>
      <c r="M387">
        <f>MIN(K387,MAX(0,F387-(J387-K387)))</f>
        <v/>
      </c>
    </row>
    <row r="388">
      <c r="A388" t="inlineStr">
        <is>
          <t>CLOUDLINE-DC</t>
        </is>
      </c>
      <c r="B388" t="inlineStr">
        <is>
          <t>2026-09-24</t>
        </is>
      </c>
      <c r="C388" t="n">
        <v>3</v>
      </c>
      <c r="D388" t="n">
        <v>2</v>
      </c>
      <c r="E388" t="n">
        <v>4</v>
      </c>
      <c r="F388" t="n">
        <v>5699</v>
      </c>
      <c r="G388" t="n">
        <v>0</v>
      </c>
      <c r="H388" t="n">
        <v>9522</v>
      </c>
      <c r="I388" t="n">
        <v>0</v>
      </c>
      <c r="J388" t="n">
        <v>9522</v>
      </c>
      <c r="K388" t="n">
        <v>0</v>
      </c>
      <c r="L388">
        <f>MIN(F388,J388)</f>
        <v/>
      </c>
      <c r="M388">
        <f>MIN(K388,MAX(0,F388-(J388-K388)))</f>
        <v/>
      </c>
    </row>
    <row r="389">
      <c r="A389" t="inlineStr">
        <is>
          <t>CLOUDLINE-DC</t>
        </is>
      </c>
      <c r="B389" t="inlineStr">
        <is>
          <t>2026-09-24</t>
        </is>
      </c>
      <c r="C389" t="n">
        <v>3</v>
      </c>
      <c r="D389" t="n">
        <v>3</v>
      </c>
      <c r="E389" t="n">
        <v>4</v>
      </c>
      <c r="F389" t="n">
        <v>5936</v>
      </c>
      <c r="G389" t="n">
        <v>0</v>
      </c>
      <c r="H389" t="n">
        <v>8333</v>
      </c>
      <c r="I389" t="n">
        <v>0</v>
      </c>
      <c r="J389" t="n">
        <v>8333</v>
      </c>
      <c r="K389" t="n">
        <v>0</v>
      </c>
      <c r="L389">
        <f>MIN(F389,J389)</f>
        <v/>
      </c>
      <c r="M389">
        <f>MIN(K389,MAX(0,F389-(J389-K389)))</f>
        <v/>
      </c>
    </row>
    <row r="390">
      <c r="A390" t="inlineStr">
        <is>
          <t>CLOUDLINE-DC</t>
        </is>
      </c>
      <c r="B390" t="inlineStr">
        <is>
          <t>2026-09-24</t>
        </is>
      </c>
      <c r="C390" t="n">
        <v>3</v>
      </c>
      <c r="D390" t="n">
        <v>4</v>
      </c>
      <c r="E390" t="n">
        <v>4</v>
      </c>
      <c r="F390" t="n">
        <v>6174</v>
      </c>
      <c r="G390" t="n">
        <v>0</v>
      </c>
      <c r="H390" t="n">
        <v>6672</v>
      </c>
      <c r="I390" t="n">
        <v>0</v>
      </c>
      <c r="J390" t="n">
        <v>6672</v>
      </c>
      <c r="K390" t="n">
        <v>0</v>
      </c>
      <c r="L390">
        <f>MIN(F390,J390)</f>
        <v/>
      </c>
      <c r="M390">
        <f>MIN(K390,MAX(0,F390-(J390-K390)))</f>
        <v/>
      </c>
    </row>
    <row r="391">
      <c r="A391" t="inlineStr">
        <is>
          <t>CLOUDLINE-DC</t>
        </is>
      </c>
      <c r="B391" t="inlineStr">
        <is>
          <t>2026-09-24</t>
        </is>
      </c>
      <c r="C391" t="n">
        <v>3</v>
      </c>
      <c r="D391" t="n">
        <v>5</v>
      </c>
      <c r="E391" t="n">
        <v>4</v>
      </c>
      <c r="F391" t="n">
        <v>5818</v>
      </c>
      <c r="G391" t="n">
        <v>0</v>
      </c>
      <c r="H391" t="n">
        <v>5355</v>
      </c>
      <c r="I391" t="n">
        <v>0</v>
      </c>
      <c r="J391" t="n">
        <v>5355</v>
      </c>
      <c r="K391" t="n">
        <v>0</v>
      </c>
      <c r="L391">
        <f>MIN(F391,J391)</f>
        <v/>
      </c>
      <c r="M391">
        <f>MIN(K391,MAX(0,F391-(J391-K391)))</f>
        <v/>
      </c>
    </row>
    <row r="392">
      <c r="A392" t="inlineStr">
        <is>
          <t>CLOUDLINE-DC</t>
        </is>
      </c>
      <c r="B392" t="inlineStr">
        <is>
          <t>2026-09-24</t>
        </is>
      </c>
      <c r="C392" t="n">
        <v>3</v>
      </c>
      <c r="D392" t="n">
        <v>6</v>
      </c>
      <c r="E392" t="n">
        <v>4</v>
      </c>
      <c r="F392" t="n">
        <v>6055</v>
      </c>
      <c r="G392" t="n">
        <v>0</v>
      </c>
      <c r="H392" t="n">
        <v>4157</v>
      </c>
      <c r="I392" t="n">
        <v>0</v>
      </c>
      <c r="J392" t="n">
        <v>4157</v>
      </c>
      <c r="K392" t="n">
        <v>0</v>
      </c>
      <c r="L392">
        <f>MIN(F392,J392)</f>
        <v/>
      </c>
      <c r="M392">
        <f>MIN(K392,MAX(0,F392-(J392-K392)))</f>
        <v/>
      </c>
    </row>
    <row r="393">
      <c r="A393" t="inlineStr">
        <is>
          <t>CLOUDLINE-DC</t>
        </is>
      </c>
      <c r="B393" t="inlineStr">
        <is>
          <t>2026-09-24</t>
        </is>
      </c>
      <c r="C393" t="n">
        <v>3</v>
      </c>
      <c r="D393" t="n">
        <v>7</v>
      </c>
      <c r="E393" t="n">
        <v>4</v>
      </c>
      <c r="F393" t="n">
        <v>5699</v>
      </c>
      <c r="G393" t="n">
        <v>0</v>
      </c>
      <c r="H393" t="n">
        <v>4578</v>
      </c>
      <c r="I393" t="n">
        <v>0</v>
      </c>
      <c r="J393" t="n">
        <v>4578</v>
      </c>
      <c r="K393" t="n">
        <v>0</v>
      </c>
      <c r="L393">
        <f>MIN(F393,J393)</f>
        <v/>
      </c>
      <c r="M393">
        <f>MIN(K393,MAX(0,F393-(J393-K393)))</f>
        <v/>
      </c>
    </row>
    <row r="394">
      <c r="A394" t="inlineStr">
        <is>
          <t>CLOUDLINE-DC</t>
        </is>
      </c>
      <c r="B394" t="inlineStr">
        <is>
          <t>2026-09-24</t>
        </is>
      </c>
      <c r="C394" t="n">
        <v>3</v>
      </c>
      <c r="D394" t="n">
        <v>8</v>
      </c>
      <c r="E394" t="n">
        <v>4</v>
      </c>
      <c r="F394" t="n">
        <v>5936</v>
      </c>
      <c r="G394" t="n">
        <v>0</v>
      </c>
      <c r="H394" t="n">
        <v>5508</v>
      </c>
      <c r="I394" t="n">
        <v>0</v>
      </c>
      <c r="J394" t="n">
        <v>5508</v>
      </c>
      <c r="K394" t="n">
        <v>0</v>
      </c>
      <c r="L394">
        <f>MIN(F394,J394)</f>
        <v/>
      </c>
      <c r="M394">
        <f>MIN(K394,MAX(0,F394-(J394-K394)))</f>
        <v/>
      </c>
    </row>
    <row r="395">
      <c r="A395" t="inlineStr">
        <is>
          <t>CLOUDLINE-DC</t>
        </is>
      </c>
      <c r="B395" t="inlineStr">
        <is>
          <t>2026-09-24</t>
        </is>
      </c>
      <c r="C395" t="n">
        <v>3</v>
      </c>
      <c r="D395" t="n">
        <v>9</v>
      </c>
      <c r="E395" t="n">
        <v>4</v>
      </c>
      <c r="F395" t="n">
        <v>6174</v>
      </c>
      <c r="G395" t="n">
        <v>0</v>
      </c>
      <c r="H395" t="n">
        <v>6441</v>
      </c>
      <c r="I395" t="n">
        <v>0</v>
      </c>
      <c r="J395" t="n">
        <v>6441</v>
      </c>
      <c r="K395" t="n">
        <v>0</v>
      </c>
      <c r="L395">
        <f>MIN(F395,J395)</f>
        <v/>
      </c>
      <c r="M395">
        <f>MIN(K395,MAX(0,F395-(J395-K395)))</f>
        <v/>
      </c>
    </row>
    <row r="396">
      <c r="A396" t="inlineStr">
        <is>
          <t>CLOUDLINE-DC</t>
        </is>
      </c>
      <c r="B396" t="inlineStr">
        <is>
          <t>2026-09-24</t>
        </is>
      </c>
      <c r="C396" t="n">
        <v>3</v>
      </c>
      <c r="D396" t="n">
        <v>10</v>
      </c>
      <c r="E396" t="n">
        <v>4</v>
      </c>
      <c r="F396" t="n">
        <v>5818</v>
      </c>
      <c r="G396" t="n">
        <v>0</v>
      </c>
      <c r="H396" t="n">
        <v>7521</v>
      </c>
      <c r="I396" t="n">
        <v>0</v>
      </c>
      <c r="J396" t="n">
        <v>7521</v>
      </c>
      <c r="K396" t="n">
        <v>0</v>
      </c>
      <c r="L396">
        <f>MIN(F396,J396)</f>
        <v/>
      </c>
      <c r="M396">
        <f>MIN(K396,MAX(0,F396-(J396-K396)))</f>
        <v/>
      </c>
    </row>
    <row r="397">
      <c r="A397" t="inlineStr">
        <is>
          <t>CLOUDLINE-DC</t>
        </is>
      </c>
      <c r="B397" t="inlineStr">
        <is>
          <t>2026-09-24</t>
        </is>
      </c>
      <c r="C397" t="n">
        <v>3</v>
      </c>
      <c r="D397" t="n">
        <v>11</v>
      </c>
      <c r="E397" t="n">
        <v>4</v>
      </c>
      <c r="F397" t="n">
        <v>6055</v>
      </c>
      <c r="G397" t="n">
        <v>0</v>
      </c>
      <c r="H397" t="n">
        <v>8686</v>
      </c>
      <c r="I397" t="n">
        <v>0</v>
      </c>
      <c r="J397" t="n">
        <v>8686</v>
      </c>
      <c r="K397" t="n">
        <v>0</v>
      </c>
      <c r="L397">
        <f>MIN(F397,J397)</f>
        <v/>
      </c>
      <c r="M397">
        <f>MIN(K397,MAX(0,F397-(J397-K397)))</f>
        <v/>
      </c>
    </row>
    <row r="398">
      <c r="A398" t="inlineStr">
        <is>
          <t>CLOUDLINE-DC</t>
        </is>
      </c>
      <c r="B398" t="inlineStr">
        <is>
          <t>2026-09-24</t>
        </is>
      </c>
      <c r="C398" t="n">
        <v>3</v>
      </c>
      <c r="D398" t="n">
        <v>12</v>
      </c>
      <c r="E398" t="n">
        <v>4</v>
      </c>
      <c r="F398" t="n">
        <v>5699</v>
      </c>
      <c r="G398" t="n">
        <v>0</v>
      </c>
      <c r="H398" t="n">
        <v>9919</v>
      </c>
      <c r="I398" t="n">
        <v>0</v>
      </c>
      <c r="J398" t="n">
        <v>9919</v>
      </c>
      <c r="K398" t="n">
        <v>0</v>
      </c>
      <c r="L398">
        <f>MIN(F398,J398)</f>
        <v/>
      </c>
      <c r="M398">
        <f>MIN(K398,MAX(0,F398-(J398-K398)))</f>
        <v/>
      </c>
    </row>
    <row r="399">
      <c r="A399" t="inlineStr">
        <is>
          <t>CLOUDLINE-DC</t>
        </is>
      </c>
      <c r="B399" t="inlineStr">
        <is>
          <t>2026-09-24</t>
        </is>
      </c>
      <c r="C399" t="n">
        <v>3</v>
      </c>
      <c r="D399" t="n">
        <v>13</v>
      </c>
      <c r="E399" t="n">
        <v>4</v>
      </c>
      <c r="F399" t="n">
        <v>5936</v>
      </c>
      <c r="G399" t="n">
        <v>0</v>
      </c>
      <c r="H399" t="n">
        <v>9669</v>
      </c>
      <c r="I399" t="n">
        <v>0</v>
      </c>
      <c r="J399" t="n">
        <v>9669</v>
      </c>
      <c r="K399" t="n">
        <v>0</v>
      </c>
      <c r="L399">
        <f>MIN(F399,J399)</f>
        <v/>
      </c>
      <c r="M399">
        <f>MIN(K399,MAX(0,F399-(J399-K399)))</f>
        <v/>
      </c>
    </row>
    <row r="400">
      <c r="A400" t="inlineStr">
        <is>
          <t>CLOUDLINE-DC</t>
        </is>
      </c>
      <c r="B400" t="inlineStr">
        <is>
          <t>2026-09-24</t>
        </is>
      </c>
      <c r="C400" t="n">
        <v>3</v>
      </c>
      <c r="D400" t="n">
        <v>14</v>
      </c>
      <c r="E400" t="n">
        <v>4</v>
      </c>
      <c r="F400" t="n">
        <v>6174</v>
      </c>
      <c r="G400" t="n">
        <v>0</v>
      </c>
      <c r="H400" t="n">
        <v>10481</v>
      </c>
      <c r="I400" t="n">
        <v>0</v>
      </c>
      <c r="J400" t="n">
        <v>10481</v>
      </c>
      <c r="K400" t="n">
        <v>0</v>
      </c>
      <c r="L400">
        <f>MIN(F400,J400)</f>
        <v/>
      </c>
      <c r="M400">
        <f>MIN(K400,MAX(0,F400-(J400-K400)))</f>
        <v/>
      </c>
    </row>
    <row r="401">
      <c r="A401" t="inlineStr">
        <is>
          <t>CLOUDLINE-DC</t>
        </is>
      </c>
      <c r="B401" t="inlineStr">
        <is>
          <t>2026-09-24</t>
        </is>
      </c>
      <c r="C401" t="n">
        <v>3</v>
      </c>
      <c r="D401" t="n">
        <v>15</v>
      </c>
      <c r="E401" t="n">
        <v>4</v>
      </c>
      <c r="F401" t="n">
        <v>5818</v>
      </c>
      <c r="G401" t="n">
        <v>0</v>
      </c>
      <c r="H401" t="n">
        <v>12416</v>
      </c>
      <c r="I401" t="n">
        <v>0</v>
      </c>
      <c r="J401" t="n">
        <v>12416</v>
      </c>
      <c r="K401" t="n">
        <v>0</v>
      </c>
      <c r="L401">
        <f>MIN(F401,J401)</f>
        <v/>
      </c>
      <c r="M401">
        <f>MIN(K401,MAX(0,F401-(J401-K401)))</f>
        <v/>
      </c>
    </row>
    <row r="402">
      <c r="A402" t="inlineStr">
        <is>
          <t>CLOUDLINE-DC</t>
        </is>
      </c>
      <c r="B402" t="inlineStr">
        <is>
          <t>2026-09-24</t>
        </is>
      </c>
      <c r="C402" t="n">
        <v>3</v>
      </c>
      <c r="D402" t="n">
        <v>16</v>
      </c>
      <c r="E402" t="n">
        <v>4</v>
      </c>
      <c r="F402" t="n">
        <v>6055</v>
      </c>
      <c r="G402" t="n">
        <v>0</v>
      </c>
      <c r="H402" t="n">
        <v>13193</v>
      </c>
      <c r="I402" t="n">
        <v>0</v>
      </c>
      <c r="J402" t="n">
        <v>13193</v>
      </c>
      <c r="K402" t="n">
        <v>0</v>
      </c>
      <c r="L402">
        <f>MIN(F402,J402)</f>
        <v/>
      </c>
      <c r="M402">
        <f>MIN(K402,MAX(0,F402-(J402-K402)))</f>
        <v/>
      </c>
    </row>
    <row r="403">
      <c r="A403" t="inlineStr">
        <is>
          <t>CLOUDLINE-DC</t>
        </is>
      </c>
      <c r="B403" t="inlineStr">
        <is>
          <t>2026-09-24</t>
        </is>
      </c>
      <c r="C403" t="n">
        <v>3</v>
      </c>
      <c r="D403" t="n">
        <v>17</v>
      </c>
      <c r="E403" t="n">
        <v>4</v>
      </c>
      <c r="F403" t="n">
        <v>5699</v>
      </c>
      <c r="G403" t="n">
        <v>0</v>
      </c>
      <c r="H403" t="n">
        <v>12785</v>
      </c>
      <c r="I403" t="n">
        <v>0</v>
      </c>
      <c r="J403" t="n">
        <v>12785</v>
      </c>
      <c r="K403" t="n">
        <v>0</v>
      </c>
      <c r="L403">
        <f>MIN(F403,J403)</f>
        <v/>
      </c>
      <c r="M403">
        <f>MIN(K403,MAX(0,F403-(J403-K403)))</f>
        <v/>
      </c>
    </row>
    <row r="404">
      <c r="A404" t="inlineStr">
        <is>
          <t>CLOUDLINE-DC</t>
        </is>
      </c>
      <c r="B404" t="inlineStr">
        <is>
          <t>2026-09-24</t>
        </is>
      </c>
      <c r="C404" t="n">
        <v>3</v>
      </c>
      <c r="D404" t="n">
        <v>18</v>
      </c>
      <c r="E404" t="n">
        <v>4</v>
      </c>
      <c r="F404" t="n">
        <v>5936</v>
      </c>
      <c r="G404" t="n">
        <v>0</v>
      </c>
      <c r="H404" t="n">
        <v>12272</v>
      </c>
      <c r="I404" t="n">
        <v>0</v>
      </c>
      <c r="J404" t="n">
        <v>12272</v>
      </c>
      <c r="K404" t="n">
        <v>0</v>
      </c>
      <c r="L404">
        <f>MIN(F404,J404)</f>
        <v/>
      </c>
      <c r="M404">
        <f>MIN(K404,MAX(0,F404-(J404-K404)))</f>
        <v/>
      </c>
    </row>
    <row r="405">
      <c r="A405" t="inlineStr">
        <is>
          <t>CLOUDLINE-DC</t>
        </is>
      </c>
      <c r="B405" t="inlineStr">
        <is>
          <t>2026-09-24</t>
        </is>
      </c>
      <c r="C405" t="n">
        <v>3</v>
      </c>
      <c r="D405" t="n">
        <v>19</v>
      </c>
      <c r="E405" t="n">
        <v>4</v>
      </c>
      <c r="F405" t="n">
        <v>6174</v>
      </c>
      <c r="G405" t="n">
        <v>0</v>
      </c>
      <c r="H405" t="n">
        <v>10465</v>
      </c>
      <c r="I405" t="n">
        <v>0</v>
      </c>
      <c r="J405" t="n">
        <v>10465</v>
      </c>
      <c r="K405" t="n">
        <v>0</v>
      </c>
      <c r="L405">
        <f>MIN(F405,J405)</f>
        <v/>
      </c>
      <c r="M405">
        <f>MIN(K405,MAX(0,F405-(J405-K405)))</f>
        <v/>
      </c>
    </row>
    <row r="406">
      <c r="A406" t="inlineStr">
        <is>
          <t>CLOUDLINE-DC</t>
        </is>
      </c>
      <c r="B406" t="inlineStr">
        <is>
          <t>2026-09-24</t>
        </is>
      </c>
      <c r="C406" t="n">
        <v>3</v>
      </c>
      <c r="D406" t="n">
        <v>20</v>
      </c>
      <c r="E406" t="n">
        <v>4</v>
      </c>
      <c r="F406" t="n">
        <v>5818</v>
      </c>
      <c r="G406" t="n">
        <v>0</v>
      </c>
      <c r="H406" t="n">
        <v>7726</v>
      </c>
      <c r="I406" t="n">
        <v>0</v>
      </c>
      <c r="J406" t="n">
        <v>7726</v>
      </c>
      <c r="K406" t="n">
        <v>0</v>
      </c>
      <c r="L406">
        <f>MIN(F406,J406)</f>
        <v/>
      </c>
      <c r="M406">
        <f>MIN(K406,MAX(0,F406-(J406-K406)))</f>
        <v/>
      </c>
    </row>
    <row r="407">
      <c r="A407" t="inlineStr">
        <is>
          <t>CLOUDLINE-DC</t>
        </is>
      </c>
      <c r="B407" t="inlineStr">
        <is>
          <t>2026-09-24</t>
        </is>
      </c>
      <c r="C407" t="n">
        <v>3</v>
      </c>
      <c r="D407" t="n">
        <v>21</v>
      </c>
      <c r="E407" t="n">
        <v>4</v>
      </c>
      <c r="F407" t="n">
        <v>6055</v>
      </c>
      <c r="G407" t="n">
        <v>0</v>
      </c>
      <c r="H407" t="n">
        <v>5932</v>
      </c>
      <c r="I407" t="n">
        <v>0</v>
      </c>
      <c r="J407" t="n">
        <v>5932</v>
      </c>
      <c r="K407" t="n">
        <v>0</v>
      </c>
      <c r="L407">
        <f>MIN(F407,J407)</f>
        <v/>
      </c>
      <c r="M407">
        <f>MIN(K407,MAX(0,F407-(J407-K407)))</f>
        <v/>
      </c>
    </row>
    <row r="408">
      <c r="A408" t="inlineStr">
        <is>
          <t>CLOUDLINE-DC</t>
        </is>
      </c>
      <c r="B408" t="inlineStr">
        <is>
          <t>2026-09-24</t>
        </is>
      </c>
      <c r="C408" t="n">
        <v>3</v>
      </c>
      <c r="D408" t="n">
        <v>22</v>
      </c>
      <c r="E408" t="n">
        <v>4</v>
      </c>
      <c r="F408" t="n">
        <v>5699</v>
      </c>
      <c r="G408" t="n">
        <v>0</v>
      </c>
      <c r="H408" t="n">
        <v>4335</v>
      </c>
      <c r="I408" t="n">
        <v>0</v>
      </c>
      <c r="J408" t="n">
        <v>4335</v>
      </c>
      <c r="K408" t="n">
        <v>0</v>
      </c>
      <c r="L408">
        <f>MIN(F408,J408)</f>
        <v/>
      </c>
      <c r="M408">
        <f>MIN(K408,MAX(0,F408-(J408-K408)))</f>
        <v/>
      </c>
    </row>
    <row r="409">
      <c r="A409" t="inlineStr">
        <is>
          <t>CLOUDLINE-DC</t>
        </is>
      </c>
      <c r="B409" t="inlineStr">
        <is>
          <t>2026-09-24</t>
        </is>
      </c>
      <c r="C409" t="n">
        <v>3</v>
      </c>
      <c r="D409" t="n">
        <v>23</v>
      </c>
      <c r="E409" t="n">
        <v>4</v>
      </c>
      <c r="F409" t="n">
        <v>5936</v>
      </c>
      <c r="G409" t="n">
        <v>0</v>
      </c>
      <c r="H409" t="n">
        <v>2669</v>
      </c>
      <c r="I409" t="n">
        <v>0</v>
      </c>
      <c r="J409" t="n">
        <v>2669</v>
      </c>
      <c r="K409" t="n">
        <v>0</v>
      </c>
      <c r="L409">
        <f>MIN(F409,J409)</f>
        <v/>
      </c>
      <c r="M409">
        <f>MIN(K409,MAX(0,F409-(J409-K409)))</f>
        <v/>
      </c>
    </row>
    <row r="410">
      <c r="A410" t="inlineStr">
        <is>
          <t>CLOUDLINE-DC</t>
        </is>
      </c>
      <c r="B410" t="inlineStr">
        <is>
          <t>2026-09-25</t>
        </is>
      </c>
      <c r="C410" t="n">
        <v>4</v>
      </c>
      <c r="D410" t="n">
        <v>0</v>
      </c>
      <c r="E410" t="n">
        <v>5</v>
      </c>
      <c r="F410" t="n">
        <v>6174</v>
      </c>
      <c r="G410" t="n">
        <v>0</v>
      </c>
      <c r="H410" t="n">
        <v>1670</v>
      </c>
      <c r="I410" t="n">
        <v>0</v>
      </c>
      <c r="J410" t="n">
        <v>1670</v>
      </c>
      <c r="K410" t="n">
        <v>0</v>
      </c>
      <c r="L410">
        <f>MIN(F410,J410)</f>
        <v/>
      </c>
      <c r="M410">
        <f>MIN(K410,MAX(0,F410-(J410-K410)))</f>
        <v/>
      </c>
    </row>
    <row r="411">
      <c r="A411" t="inlineStr">
        <is>
          <t>CLOUDLINE-DC</t>
        </is>
      </c>
      <c r="B411" t="inlineStr">
        <is>
          <t>2026-09-25</t>
        </is>
      </c>
      <c r="C411" t="n">
        <v>4</v>
      </c>
      <c r="D411" t="n">
        <v>1</v>
      </c>
      <c r="E411" t="n">
        <v>5</v>
      </c>
      <c r="F411" t="n">
        <v>5818</v>
      </c>
      <c r="G411" t="n">
        <v>0</v>
      </c>
      <c r="H411" t="n">
        <v>2149</v>
      </c>
      <c r="I411" t="n">
        <v>0</v>
      </c>
      <c r="J411" t="n">
        <v>2149</v>
      </c>
      <c r="K411" t="n">
        <v>0</v>
      </c>
      <c r="L411">
        <f>MIN(F411,J411)</f>
        <v/>
      </c>
      <c r="M411">
        <f>MIN(K411,MAX(0,F411-(J411-K411)))</f>
        <v/>
      </c>
    </row>
    <row r="412">
      <c r="A412" t="inlineStr">
        <is>
          <t>CLOUDLINE-DC</t>
        </is>
      </c>
      <c r="B412" t="inlineStr">
        <is>
          <t>2026-09-25</t>
        </is>
      </c>
      <c r="C412" t="n">
        <v>4</v>
      </c>
      <c r="D412" t="n">
        <v>2</v>
      </c>
      <c r="E412" t="n">
        <v>5</v>
      </c>
      <c r="F412" t="n">
        <v>6055</v>
      </c>
      <c r="G412" t="n">
        <v>0</v>
      </c>
      <c r="H412" t="n">
        <v>3195</v>
      </c>
      <c r="I412" t="n">
        <v>0</v>
      </c>
      <c r="J412" t="n">
        <v>3195</v>
      </c>
      <c r="K412" t="n">
        <v>0</v>
      </c>
      <c r="L412">
        <f>MIN(F412,J412)</f>
        <v/>
      </c>
      <c r="M412">
        <f>MIN(K412,MAX(0,F412-(J412-K412)))</f>
        <v/>
      </c>
    </row>
    <row r="413">
      <c r="A413" t="inlineStr">
        <is>
          <t>CLOUDLINE-DC</t>
        </is>
      </c>
      <c r="B413" t="inlineStr">
        <is>
          <t>2026-09-25</t>
        </is>
      </c>
      <c r="C413" t="n">
        <v>4</v>
      </c>
      <c r="D413" t="n">
        <v>3</v>
      </c>
      <c r="E413" t="n">
        <v>5</v>
      </c>
      <c r="F413" t="n">
        <v>5699</v>
      </c>
      <c r="G413" t="n">
        <v>0</v>
      </c>
      <c r="H413" t="n">
        <v>3344</v>
      </c>
      <c r="I413" t="n">
        <v>0</v>
      </c>
      <c r="J413" t="n">
        <v>3344</v>
      </c>
      <c r="K413" t="n">
        <v>0</v>
      </c>
      <c r="L413">
        <f>MIN(F413,J413)</f>
        <v/>
      </c>
      <c r="M413">
        <f>MIN(K413,MAX(0,F413-(J413-K413)))</f>
        <v/>
      </c>
    </row>
    <row r="414">
      <c r="A414" t="inlineStr">
        <is>
          <t>CLOUDLINE-DC</t>
        </is>
      </c>
      <c r="B414" t="inlineStr">
        <is>
          <t>2026-09-25</t>
        </is>
      </c>
      <c r="C414" t="n">
        <v>4</v>
      </c>
      <c r="D414" t="n">
        <v>4</v>
      </c>
      <c r="E414" t="n">
        <v>5</v>
      </c>
      <c r="F414" t="n">
        <v>5936</v>
      </c>
      <c r="G414" t="n">
        <v>0</v>
      </c>
      <c r="H414" t="n">
        <v>3000</v>
      </c>
      <c r="I414" t="n">
        <v>0</v>
      </c>
      <c r="J414" t="n">
        <v>3000</v>
      </c>
      <c r="K414" t="n">
        <v>0</v>
      </c>
      <c r="L414">
        <f>MIN(F414,J414)</f>
        <v/>
      </c>
      <c r="M414">
        <f>MIN(K414,MAX(0,F414-(J414-K414)))</f>
        <v/>
      </c>
    </row>
    <row r="415">
      <c r="A415" t="inlineStr">
        <is>
          <t>CLOUDLINE-DC</t>
        </is>
      </c>
      <c r="B415" t="inlineStr">
        <is>
          <t>2026-09-25</t>
        </is>
      </c>
      <c r="C415" t="n">
        <v>4</v>
      </c>
      <c r="D415" t="n">
        <v>5</v>
      </c>
      <c r="E415" t="n">
        <v>5</v>
      </c>
      <c r="F415" t="n">
        <v>6174</v>
      </c>
      <c r="G415" t="n">
        <v>0</v>
      </c>
      <c r="H415" t="n">
        <v>3029</v>
      </c>
      <c r="I415" t="n">
        <v>0</v>
      </c>
      <c r="J415" t="n">
        <v>3029</v>
      </c>
      <c r="K415" t="n">
        <v>0</v>
      </c>
      <c r="L415">
        <f>MIN(F415,J415)</f>
        <v/>
      </c>
      <c r="M415">
        <f>MIN(K415,MAX(0,F415-(J415-K415)))</f>
        <v/>
      </c>
    </row>
    <row r="416">
      <c r="A416" t="inlineStr">
        <is>
          <t>CLOUDLINE-DC</t>
        </is>
      </c>
      <c r="B416" t="inlineStr">
        <is>
          <t>2026-09-25</t>
        </is>
      </c>
      <c r="C416" t="n">
        <v>4</v>
      </c>
      <c r="D416" t="n">
        <v>6</v>
      </c>
      <c r="E416" t="n">
        <v>5</v>
      </c>
      <c r="F416" t="n">
        <v>5818</v>
      </c>
      <c r="G416" t="n">
        <v>0</v>
      </c>
      <c r="H416" t="n">
        <v>2613</v>
      </c>
      <c r="I416" t="n">
        <v>0</v>
      </c>
      <c r="J416" t="n">
        <v>2613</v>
      </c>
      <c r="K416" t="n">
        <v>0</v>
      </c>
      <c r="L416">
        <f>MIN(F416,J416)</f>
        <v/>
      </c>
      <c r="M416">
        <f>MIN(K416,MAX(0,F416-(J416-K416)))</f>
        <v/>
      </c>
    </row>
    <row r="417">
      <c r="A417" t="inlineStr">
        <is>
          <t>CLOUDLINE-DC</t>
        </is>
      </c>
      <c r="B417" t="inlineStr">
        <is>
          <t>2026-09-25</t>
        </is>
      </c>
      <c r="C417" t="n">
        <v>4</v>
      </c>
      <c r="D417" t="n">
        <v>7</v>
      </c>
      <c r="E417" t="n">
        <v>5</v>
      </c>
      <c r="F417" t="n">
        <v>6055</v>
      </c>
      <c r="G417" t="n">
        <v>0</v>
      </c>
      <c r="H417" t="n">
        <v>2464</v>
      </c>
      <c r="I417" t="n">
        <v>0</v>
      </c>
      <c r="J417" t="n">
        <v>2464</v>
      </c>
      <c r="K417" t="n">
        <v>0</v>
      </c>
      <c r="L417">
        <f>MIN(F417,J417)</f>
        <v/>
      </c>
      <c r="M417">
        <f>MIN(K417,MAX(0,F417-(J417-K417)))</f>
        <v/>
      </c>
    </row>
    <row r="418">
      <c r="A418" t="inlineStr">
        <is>
          <t>CLOUDLINE-DC</t>
        </is>
      </c>
      <c r="B418" t="inlineStr">
        <is>
          <t>2026-09-25</t>
        </is>
      </c>
      <c r="C418" t="n">
        <v>4</v>
      </c>
      <c r="D418" t="n">
        <v>8</v>
      </c>
      <c r="E418" t="n">
        <v>5</v>
      </c>
      <c r="F418" t="n">
        <v>5699</v>
      </c>
      <c r="G418" t="n">
        <v>0</v>
      </c>
      <c r="H418" t="n">
        <v>2397</v>
      </c>
      <c r="I418" t="n">
        <v>0</v>
      </c>
      <c r="J418" t="n">
        <v>2397</v>
      </c>
      <c r="K418" t="n">
        <v>0</v>
      </c>
      <c r="L418">
        <f>MIN(F418,J418)</f>
        <v/>
      </c>
      <c r="M418">
        <f>MIN(K418,MAX(0,F418-(J418-K418)))</f>
        <v/>
      </c>
    </row>
    <row r="419">
      <c r="A419" t="inlineStr">
        <is>
          <t>CLOUDLINE-DC</t>
        </is>
      </c>
      <c r="B419" t="inlineStr">
        <is>
          <t>2026-09-25</t>
        </is>
      </c>
      <c r="C419" t="n">
        <v>4</v>
      </c>
      <c r="D419" t="n">
        <v>9</v>
      </c>
      <c r="E419" t="n">
        <v>5</v>
      </c>
      <c r="F419" t="n">
        <v>5936</v>
      </c>
      <c r="G419" t="n">
        <v>0</v>
      </c>
      <c r="H419" t="n">
        <v>2054</v>
      </c>
      <c r="I419" t="n">
        <v>0</v>
      </c>
      <c r="J419" t="n">
        <v>2054</v>
      </c>
      <c r="K419" t="n">
        <v>0</v>
      </c>
      <c r="L419">
        <f>MIN(F419,J419)</f>
        <v/>
      </c>
      <c r="M419">
        <f>MIN(K419,MAX(0,F419-(J419-K419)))</f>
        <v/>
      </c>
    </row>
    <row r="420">
      <c r="A420" t="inlineStr">
        <is>
          <t>CLOUDLINE-DC</t>
        </is>
      </c>
      <c r="B420" t="inlineStr">
        <is>
          <t>2026-09-25</t>
        </is>
      </c>
      <c r="C420" t="n">
        <v>4</v>
      </c>
      <c r="D420" t="n">
        <v>10</v>
      </c>
      <c r="E420" t="n">
        <v>5</v>
      </c>
      <c r="F420" t="n">
        <v>6174</v>
      </c>
      <c r="G420" t="n">
        <v>0</v>
      </c>
      <c r="H420" t="n">
        <v>2535</v>
      </c>
      <c r="I420" t="n">
        <v>0</v>
      </c>
      <c r="J420" t="n">
        <v>2535</v>
      </c>
      <c r="K420" t="n">
        <v>0</v>
      </c>
      <c r="L420">
        <f>MIN(F420,J420)</f>
        <v/>
      </c>
      <c r="M420">
        <f>MIN(K420,MAX(0,F420-(J420-K420)))</f>
        <v/>
      </c>
    </row>
    <row r="421">
      <c r="A421" t="inlineStr">
        <is>
          <t>CLOUDLINE-DC</t>
        </is>
      </c>
      <c r="B421" t="inlineStr">
        <is>
          <t>2026-09-25</t>
        </is>
      </c>
      <c r="C421" t="n">
        <v>4</v>
      </c>
      <c r="D421" t="n">
        <v>11</v>
      </c>
      <c r="E421" t="n">
        <v>5</v>
      </c>
      <c r="F421" t="n">
        <v>5818</v>
      </c>
      <c r="G421" t="n">
        <v>0</v>
      </c>
      <c r="H421" t="n">
        <v>2963</v>
      </c>
      <c r="I421" t="n">
        <v>0</v>
      </c>
      <c r="J421" t="n">
        <v>2963</v>
      </c>
      <c r="K421" t="n">
        <v>0</v>
      </c>
      <c r="L421">
        <f>MIN(F421,J421)</f>
        <v/>
      </c>
      <c r="M421">
        <f>MIN(K421,MAX(0,F421-(J421-K421)))</f>
        <v/>
      </c>
    </row>
    <row r="422">
      <c r="A422" t="inlineStr">
        <is>
          <t>CLOUDLINE-DC</t>
        </is>
      </c>
      <c r="B422" t="inlineStr">
        <is>
          <t>2026-09-25</t>
        </is>
      </c>
      <c r="C422" t="n">
        <v>4</v>
      </c>
      <c r="D422" t="n">
        <v>12</v>
      </c>
      <c r="E422" t="n">
        <v>5</v>
      </c>
      <c r="F422" t="n">
        <v>6055</v>
      </c>
      <c r="G422" t="n">
        <v>0</v>
      </c>
      <c r="H422" t="n">
        <v>3201</v>
      </c>
      <c r="I422" t="n">
        <v>0</v>
      </c>
      <c r="J422" t="n">
        <v>3201</v>
      </c>
      <c r="K422" t="n">
        <v>0</v>
      </c>
      <c r="L422">
        <f>MIN(F422,J422)</f>
        <v/>
      </c>
      <c r="M422">
        <f>MIN(K422,MAX(0,F422-(J422-K422)))</f>
        <v/>
      </c>
    </row>
    <row r="423">
      <c r="A423" t="inlineStr">
        <is>
          <t>CLOUDLINE-DC</t>
        </is>
      </c>
      <c r="B423" t="inlineStr">
        <is>
          <t>2026-09-25</t>
        </is>
      </c>
      <c r="C423" t="n">
        <v>4</v>
      </c>
      <c r="D423" t="n">
        <v>13</v>
      </c>
      <c r="E423" t="n">
        <v>5</v>
      </c>
      <c r="F423" t="n">
        <v>5699</v>
      </c>
      <c r="G423" t="n">
        <v>0</v>
      </c>
      <c r="H423" t="n">
        <v>3305</v>
      </c>
      <c r="I423" t="n">
        <v>0</v>
      </c>
      <c r="J423" t="n">
        <v>3305</v>
      </c>
      <c r="K423" t="n">
        <v>0</v>
      </c>
      <c r="L423">
        <f>MIN(F423,J423)</f>
        <v/>
      </c>
      <c r="M423">
        <f>MIN(K423,MAX(0,F423-(J423-K423)))</f>
        <v/>
      </c>
    </row>
    <row r="424">
      <c r="A424" t="inlineStr">
        <is>
          <t>CLOUDLINE-DC</t>
        </is>
      </c>
      <c r="B424" t="inlineStr">
        <is>
          <t>2026-09-25</t>
        </is>
      </c>
      <c r="C424" t="n">
        <v>4</v>
      </c>
      <c r="D424" t="n">
        <v>14</v>
      </c>
      <c r="E424" t="n">
        <v>5</v>
      </c>
      <c r="F424" t="n">
        <v>5936</v>
      </c>
      <c r="G424" t="n">
        <v>0</v>
      </c>
      <c r="H424" t="n">
        <v>2936</v>
      </c>
      <c r="I424" t="n">
        <v>0</v>
      </c>
      <c r="J424" t="n">
        <v>2936</v>
      </c>
      <c r="K424" t="n">
        <v>0</v>
      </c>
      <c r="L424">
        <f>MIN(F424,J424)</f>
        <v/>
      </c>
      <c r="M424">
        <f>MIN(K424,MAX(0,F424-(J424-K424)))</f>
        <v/>
      </c>
    </row>
    <row r="425">
      <c r="A425" t="inlineStr">
        <is>
          <t>CLOUDLINE-DC</t>
        </is>
      </c>
      <c r="B425" t="inlineStr">
        <is>
          <t>2026-09-25</t>
        </is>
      </c>
      <c r="C425" t="n">
        <v>4</v>
      </c>
      <c r="D425" t="n">
        <v>15</v>
      </c>
      <c r="E425" t="n">
        <v>5</v>
      </c>
      <c r="F425" t="n">
        <v>6174</v>
      </c>
      <c r="G425" t="n">
        <v>0</v>
      </c>
      <c r="H425" t="n">
        <v>2475</v>
      </c>
      <c r="I425" t="n">
        <v>0</v>
      </c>
      <c r="J425" t="n">
        <v>2475</v>
      </c>
      <c r="K425" t="n">
        <v>0</v>
      </c>
      <c r="L425">
        <f>MIN(F425,J425)</f>
        <v/>
      </c>
      <c r="M425">
        <f>MIN(K425,MAX(0,F425-(J425-K425)))</f>
        <v/>
      </c>
    </row>
    <row r="426">
      <c r="A426" t="inlineStr">
        <is>
          <t>CLOUDLINE-DC</t>
        </is>
      </c>
      <c r="B426" t="inlineStr">
        <is>
          <t>2026-09-25</t>
        </is>
      </c>
      <c r="C426" t="n">
        <v>4</v>
      </c>
      <c r="D426" t="n">
        <v>16</v>
      </c>
      <c r="E426" t="n">
        <v>5</v>
      </c>
      <c r="F426" t="n">
        <v>5818</v>
      </c>
      <c r="G426" t="n">
        <v>0</v>
      </c>
      <c r="H426" t="n">
        <v>2020</v>
      </c>
      <c r="I426" t="n">
        <v>0</v>
      </c>
      <c r="J426" t="n">
        <v>2020</v>
      </c>
      <c r="K426" t="n">
        <v>0</v>
      </c>
      <c r="L426">
        <f>MIN(F426,J426)</f>
        <v/>
      </c>
      <c r="M426">
        <f>MIN(K426,MAX(0,F426-(J426-K426)))</f>
        <v/>
      </c>
    </row>
    <row r="427">
      <c r="A427" t="inlineStr">
        <is>
          <t>CLOUDLINE-DC</t>
        </is>
      </c>
      <c r="B427" t="inlineStr">
        <is>
          <t>2026-09-25</t>
        </is>
      </c>
      <c r="C427" t="n">
        <v>4</v>
      </c>
      <c r="D427" t="n">
        <v>17</v>
      </c>
      <c r="E427" t="n">
        <v>5</v>
      </c>
      <c r="F427" t="n">
        <v>6055</v>
      </c>
      <c r="G427" t="n">
        <v>0</v>
      </c>
      <c r="H427" t="n">
        <v>1971</v>
      </c>
      <c r="I427" t="n">
        <v>0</v>
      </c>
      <c r="J427" t="n">
        <v>1971</v>
      </c>
      <c r="K427" t="n">
        <v>0</v>
      </c>
      <c r="L427">
        <f>MIN(F427,J427)</f>
        <v/>
      </c>
      <c r="M427">
        <f>MIN(K427,MAX(0,F427-(J427-K427)))</f>
        <v/>
      </c>
    </row>
    <row r="428">
      <c r="A428" t="inlineStr">
        <is>
          <t>CLOUDLINE-DC</t>
        </is>
      </c>
      <c r="B428" t="inlineStr">
        <is>
          <t>2026-09-25</t>
        </is>
      </c>
      <c r="C428" t="n">
        <v>4</v>
      </c>
      <c r="D428" t="n">
        <v>18</v>
      </c>
      <c r="E428" t="n">
        <v>5</v>
      </c>
      <c r="F428" t="n">
        <v>5699</v>
      </c>
      <c r="G428" t="n">
        <v>0</v>
      </c>
      <c r="H428" t="n">
        <v>1203</v>
      </c>
      <c r="I428" t="n">
        <v>0</v>
      </c>
      <c r="J428" t="n">
        <v>1203</v>
      </c>
      <c r="K428" t="n">
        <v>0</v>
      </c>
      <c r="L428">
        <f>MIN(F428,J428)</f>
        <v/>
      </c>
      <c r="M428">
        <f>MIN(K428,MAX(0,F428-(J428-K428)))</f>
        <v/>
      </c>
    </row>
    <row r="429">
      <c r="A429" t="inlineStr">
        <is>
          <t>CLOUDLINE-DC</t>
        </is>
      </c>
      <c r="B429" t="inlineStr">
        <is>
          <t>2026-09-25</t>
        </is>
      </c>
      <c r="C429" t="n">
        <v>4</v>
      </c>
      <c r="D429" t="n">
        <v>19</v>
      </c>
      <c r="E429" t="n">
        <v>5</v>
      </c>
      <c r="F429" t="n">
        <v>5936</v>
      </c>
      <c r="G429" t="n">
        <v>0</v>
      </c>
      <c r="H429" t="n">
        <v>642</v>
      </c>
      <c r="I429" t="n">
        <v>0</v>
      </c>
      <c r="J429" t="n">
        <v>642</v>
      </c>
      <c r="K429" t="n">
        <v>0</v>
      </c>
      <c r="L429">
        <f>MIN(F429,J429)</f>
        <v/>
      </c>
      <c r="M429">
        <f>MIN(K429,MAX(0,F429-(J429-K429)))</f>
        <v/>
      </c>
    </row>
    <row r="430">
      <c r="A430" t="inlineStr">
        <is>
          <t>CLOUDLINE-DC</t>
        </is>
      </c>
      <c r="B430" t="inlineStr">
        <is>
          <t>2026-09-25</t>
        </is>
      </c>
      <c r="C430" t="n">
        <v>4</v>
      </c>
      <c r="D430" t="n">
        <v>20</v>
      </c>
      <c r="E430" t="n">
        <v>5</v>
      </c>
      <c r="F430" t="n">
        <v>6174</v>
      </c>
      <c r="G430" t="n">
        <v>0</v>
      </c>
      <c r="H430" t="n">
        <v>298</v>
      </c>
      <c r="I430" t="n">
        <v>0</v>
      </c>
      <c r="J430" t="n">
        <v>298</v>
      </c>
      <c r="K430" t="n">
        <v>0</v>
      </c>
      <c r="L430">
        <f>MIN(F430,J430)</f>
        <v/>
      </c>
      <c r="M430">
        <f>MIN(K430,MAX(0,F430-(J430-K430)))</f>
        <v/>
      </c>
    </row>
    <row r="431">
      <c r="A431" t="inlineStr">
        <is>
          <t>CLOUDLINE-DC</t>
        </is>
      </c>
      <c r="B431" t="inlineStr">
        <is>
          <t>2026-09-25</t>
        </is>
      </c>
      <c r="C431" t="n">
        <v>4</v>
      </c>
      <c r="D431" t="n">
        <v>21</v>
      </c>
      <c r="E431" t="n">
        <v>5</v>
      </c>
      <c r="F431" t="n">
        <v>5818</v>
      </c>
      <c r="G431" t="n">
        <v>0</v>
      </c>
      <c r="H431" t="n">
        <v>280</v>
      </c>
      <c r="I431" t="n">
        <v>0</v>
      </c>
      <c r="J431" t="n">
        <v>280</v>
      </c>
      <c r="K431" t="n">
        <v>0</v>
      </c>
      <c r="L431">
        <f>MIN(F431,J431)</f>
        <v/>
      </c>
      <c r="M431">
        <f>MIN(K431,MAX(0,F431-(J431-K431)))</f>
        <v/>
      </c>
    </row>
    <row r="432">
      <c r="A432" t="inlineStr">
        <is>
          <t>CLOUDLINE-DC</t>
        </is>
      </c>
      <c r="B432" t="inlineStr">
        <is>
          <t>2026-09-25</t>
        </is>
      </c>
      <c r="C432" t="n">
        <v>4</v>
      </c>
      <c r="D432" t="n">
        <v>22</v>
      </c>
      <c r="E432" t="n">
        <v>5</v>
      </c>
      <c r="F432" t="n">
        <v>6055</v>
      </c>
      <c r="G432" t="n">
        <v>0</v>
      </c>
      <c r="H432" t="n">
        <v>223</v>
      </c>
      <c r="I432" t="n">
        <v>0</v>
      </c>
      <c r="J432" t="n">
        <v>223</v>
      </c>
      <c r="K432" t="n">
        <v>0</v>
      </c>
      <c r="L432">
        <f>MIN(F432,J432)</f>
        <v/>
      </c>
      <c r="M432">
        <f>MIN(K432,MAX(0,F432-(J432-K432)))</f>
        <v/>
      </c>
    </row>
    <row r="433">
      <c r="A433" t="inlineStr">
        <is>
          <t>CLOUDLINE-DC</t>
        </is>
      </c>
      <c r="B433" t="inlineStr">
        <is>
          <t>2026-09-25</t>
        </is>
      </c>
      <c r="C433" t="n">
        <v>4</v>
      </c>
      <c r="D433" t="n">
        <v>23</v>
      </c>
      <c r="E433" t="n">
        <v>5</v>
      </c>
      <c r="F433" t="n">
        <v>5699</v>
      </c>
      <c r="G433" t="n">
        <v>0</v>
      </c>
      <c r="H433" t="n">
        <v>209</v>
      </c>
      <c r="I433" t="n">
        <v>0</v>
      </c>
      <c r="J433" t="n">
        <v>209</v>
      </c>
      <c r="K433" t="n">
        <v>0</v>
      </c>
      <c r="L433">
        <f>MIN(F433,J433)</f>
        <v/>
      </c>
      <c r="M433">
        <f>MIN(K433,MAX(0,F433-(J433-K433)))</f>
        <v/>
      </c>
    </row>
    <row r="434">
      <c r="A434" t="inlineStr">
        <is>
          <t>CLOUDLINE-DC</t>
        </is>
      </c>
      <c r="B434" t="inlineStr">
        <is>
          <t>2026-09-26</t>
        </is>
      </c>
      <c r="C434" t="n">
        <v>5</v>
      </c>
      <c r="D434" t="n">
        <v>0</v>
      </c>
      <c r="E434" t="n">
        <v>6</v>
      </c>
      <c r="F434" t="n">
        <v>5936</v>
      </c>
      <c r="G434" t="n">
        <v>0</v>
      </c>
      <c r="H434" t="n">
        <v>110</v>
      </c>
      <c r="I434" t="n">
        <v>0</v>
      </c>
      <c r="J434" t="n">
        <v>110</v>
      </c>
      <c r="K434" t="n">
        <v>0</v>
      </c>
      <c r="L434">
        <f>MIN(F434,J434)</f>
        <v/>
      </c>
      <c r="M434">
        <f>MIN(K434,MAX(0,F434-(J434-K434)))</f>
        <v/>
      </c>
    </row>
    <row r="435">
      <c r="A435" t="inlineStr">
        <is>
          <t>CLOUDLINE-DC</t>
        </is>
      </c>
      <c r="B435" t="inlineStr">
        <is>
          <t>2026-09-26</t>
        </is>
      </c>
      <c r="C435" t="n">
        <v>5</v>
      </c>
      <c r="D435" t="n">
        <v>1</v>
      </c>
      <c r="E435" t="n">
        <v>6</v>
      </c>
      <c r="F435" t="n">
        <v>6174</v>
      </c>
      <c r="G435" t="n">
        <v>0</v>
      </c>
      <c r="H435" t="n">
        <v>80</v>
      </c>
      <c r="I435" t="n">
        <v>0</v>
      </c>
      <c r="J435" t="n">
        <v>80</v>
      </c>
      <c r="K435" t="n">
        <v>0</v>
      </c>
      <c r="L435">
        <f>MIN(F435,J435)</f>
        <v/>
      </c>
      <c r="M435">
        <f>MIN(K435,MAX(0,F435-(J435-K435)))</f>
        <v/>
      </c>
    </row>
    <row r="436">
      <c r="A436" t="inlineStr">
        <is>
          <t>CLOUDLINE-DC</t>
        </is>
      </c>
      <c r="B436" t="inlineStr">
        <is>
          <t>2026-09-26</t>
        </is>
      </c>
      <c r="C436" t="n">
        <v>5</v>
      </c>
      <c r="D436" t="n">
        <v>2</v>
      </c>
      <c r="E436" t="n">
        <v>6</v>
      </c>
      <c r="F436" t="n">
        <v>5818</v>
      </c>
      <c r="G436" t="n">
        <v>0</v>
      </c>
      <c r="H436" t="n">
        <v>80</v>
      </c>
      <c r="I436" t="n">
        <v>0</v>
      </c>
      <c r="J436" t="n">
        <v>80</v>
      </c>
      <c r="K436" t="n">
        <v>0</v>
      </c>
      <c r="L436">
        <f>MIN(F436,J436)</f>
        <v/>
      </c>
      <c r="M436">
        <f>MIN(K436,MAX(0,F436-(J436-K436)))</f>
        <v/>
      </c>
    </row>
    <row r="437">
      <c r="A437" t="inlineStr">
        <is>
          <t>CLOUDLINE-DC</t>
        </is>
      </c>
      <c r="B437" t="inlineStr">
        <is>
          <t>2026-09-26</t>
        </is>
      </c>
      <c r="C437" t="n">
        <v>5</v>
      </c>
      <c r="D437" t="n">
        <v>3</v>
      </c>
      <c r="E437" t="n">
        <v>6</v>
      </c>
      <c r="F437" t="n">
        <v>6055</v>
      </c>
      <c r="G437" t="n">
        <v>0</v>
      </c>
      <c r="H437" t="n">
        <v>78</v>
      </c>
      <c r="I437" t="n">
        <v>0</v>
      </c>
      <c r="J437" t="n">
        <v>78</v>
      </c>
      <c r="K437" t="n">
        <v>0</v>
      </c>
      <c r="L437">
        <f>MIN(F437,J437)</f>
        <v/>
      </c>
      <c r="M437">
        <f>MIN(K437,MAX(0,F437-(J437-K437)))</f>
        <v/>
      </c>
    </row>
    <row r="438">
      <c r="A438" t="inlineStr">
        <is>
          <t>CLOUDLINE-DC</t>
        </is>
      </c>
      <c r="B438" t="inlineStr">
        <is>
          <t>2026-09-26</t>
        </is>
      </c>
      <c r="C438" t="n">
        <v>5</v>
      </c>
      <c r="D438" t="n">
        <v>4</v>
      </c>
      <c r="E438" t="n">
        <v>6</v>
      </c>
      <c r="F438" t="n">
        <v>5699</v>
      </c>
      <c r="G438" t="n">
        <v>0</v>
      </c>
      <c r="H438" t="n">
        <v>79</v>
      </c>
      <c r="I438" t="n">
        <v>0</v>
      </c>
      <c r="J438" t="n">
        <v>79</v>
      </c>
      <c r="K438" t="n">
        <v>0</v>
      </c>
      <c r="L438">
        <f>MIN(F438,J438)</f>
        <v/>
      </c>
      <c r="M438">
        <f>MIN(K438,MAX(0,F438-(J438-K438)))</f>
        <v/>
      </c>
    </row>
    <row r="439">
      <c r="A439" t="inlineStr">
        <is>
          <t>CLOUDLINE-DC</t>
        </is>
      </c>
      <c r="B439" t="inlineStr">
        <is>
          <t>2026-09-26</t>
        </is>
      </c>
      <c r="C439" t="n">
        <v>5</v>
      </c>
      <c r="D439" t="n">
        <v>5</v>
      </c>
      <c r="E439" t="n">
        <v>6</v>
      </c>
      <c r="F439" t="n">
        <v>5936</v>
      </c>
      <c r="G439" t="n">
        <v>0</v>
      </c>
      <c r="H439" t="n">
        <v>89</v>
      </c>
      <c r="I439" t="n">
        <v>0</v>
      </c>
      <c r="J439" t="n">
        <v>89</v>
      </c>
      <c r="K439" t="n">
        <v>0</v>
      </c>
      <c r="L439">
        <f>MIN(F439,J439)</f>
        <v/>
      </c>
      <c r="M439">
        <f>MIN(K439,MAX(0,F439-(J439-K439)))</f>
        <v/>
      </c>
    </row>
    <row r="440">
      <c r="A440" t="inlineStr">
        <is>
          <t>CLOUDLINE-DC</t>
        </is>
      </c>
      <c r="B440" t="inlineStr">
        <is>
          <t>2026-09-26</t>
        </is>
      </c>
      <c r="C440" t="n">
        <v>5</v>
      </c>
      <c r="D440" t="n">
        <v>6</v>
      </c>
      <c r="E440" t="n">
        <v>6</v>
      </c>
      <c r="F440" t="n">
        <v>6174</v>
      </c>
      <c r="G440" t="n">
        <v>0</v>
      </c>
      <c r="H440" t="n">
        <v>82</v>
      </c>
      <c r="I440" t="n">
        <v>0</v>
      </c>
      <c r="J440" t="n">
        <v>82</v>
      </c>
      <c r="K440" t="n">
        <v>0</v>
      </c>
      <c r="L440">
        <f>MIN(F440,J440)</f>
        <v/>
      </c>
      <c r="M440">
        <f>MIN(K440,MAX(0,F440-(J440-K440)))</f>
        <v/>
      </c>
    </row>
    <row r="441">
      <c r="A441" t="inlineStr">
        <is>
          <t>CLOUDLINE-DC</t>
        </is>
      </c>
      <c r="B441" t="inlineStr">
        <is>
          <t>2026-09-26</t>
        </is>
      </c>
      <c r="C441" t="n">
        <v>5</v>
      </c>
      <c r="D441" t="n">
        <v>7</v>
      </c>
      <c r="E441" t="n">
        <v>6</v>
      </c>
      <c r="F441" t="n">
        <v>5818</v>
      </c>
      <c r="G441" t="n">
        <v>0</v>
      </c>
      <c r="H441" t="n">
        <v>68</v>
      </c>
      <c r="I441" t="n">
        <v>0</v>
      </c>
      <c r="J441" t="n">
        <v>68</v>
      </c>
      <c r="K441" t="n">
        <v>0</v>
      </c>
      <c r="L441">
        <f>MIN(F441,J441)</f>
        <v/>
      </c>
      <c r="M441">
        <f>MIN(K441,MAX(0,F441-(J441-K441)))</f>
        <v/>
      </c>
    </row>
    <row r="442">
      <c r="A442" t="inlineStr">
        <is>
          <t>CLOUDLINE-DC</t>
        </is>
      </c>
      <c r="B442" t="inlineStr">
        <is>
          <t>2026-09-26</t>
        </is>
      </c>
      <c r="C442" t="n">
        <v>5</v>
      </c>
      <c r="D442" t="n">
        <v>8</v>
      </c>
      <c r="E442" t="n">
        <v>6</v>
      </c>
      <c r="F442" t="n">
        <v>6055</v>
      </c>
      <c r="G442" t="n">
        <v>0</v>
      </c>
      <c r="H442" t="n">
        <v>128</v>
      </c>
      <c r="I442" t="n">
        <v>0</v>
      </c>
      <c r="J442" t="n">
        <v>128</v>
      </c>
      <c r="K442" t="n">
        <v>0</v>
      </c>
      <c r="L442">
        <f>MIN(F442,J442)</f>
        <v/>
      </c>
      <c r="M442">
        <f>MIN(K442,MAX(0,F442-(J442-K442)))</f>
        <v/>
      </c>
    </row>
    <row r="443">
      <c r="A443" t="inlineStr">
        <is>
          <t>CLOUDLINE-DC</t>
        </is>
      </c>
      <c r="B443" t="inlineStr">
        <is>
          <t>2026-09-26</t>
        </is>
      </c>
      <c r="C443" t="n">
        <v>5</v>
      </c>
      <c r="D443" t="n">
        <v>9</v>
      </c>
      <c r="E443" t="n">
        <v>6</v>
      </c>
      <c r="F443" t="n">
        <v>5699</v>
      </c>
      <c r="G443" t="n">
        <v>0</v>
      </c>
      <c r="H443" t="n">
        <v>118</v>
      </c>
      <c r="I443" t="n">
        <v>0</v>
      </c>
      <c r="J443" t="n">
        <v>118</v>
      </c>
      <c r="K443" t="n">
        <v>0</v>
      </c>
      <c r="L443">
        <f>MIN(F443,J443)</f>
        <v/>
      </c>
      <c r="M443">
        <f>MIN(K443,MAX(0,F443-(J443-K443)))</f>
        <v/>
      </c>
    </row>
    <row r="444">
      <c r="A444" t="inlineStr">
        <is>
          <t>CLOUDLINE-DC</t>
        </is>
      </c>
      <c r="B444" t="inlineStr">
        <is>
          <t>2026-09-26</t>
        </is>
      </c>
      <c r="C444" t="n">
        <v>5</v>
      </c>
      <c r="D444" t="n">
        <v>10</v>
      </c>
      <c r="E444" t="n">
        <v>6</v>
      </c>
      <c r="F444" t="n">
        <v>5936</v>
      </c>
      <c r="G444" t="n">
        <v>0</v>
      </c>
      <c r="H444" t="n">
        <v>140</v>
      </c>
      <c r="I444" t="n">
        <v>0</v>
      </c>
      <c r="J444" t="n">
        <v>140</v>
      </c>
      <c r="K444" t="n">
        <v>0</v>
      </c>
      <c r="L444">
        <f>MIN(F444,J444)</f>
        <v/>
      </c>
      <c r="M444">
        <f>MIN(K444,MAX(0,F444-(J444-K444)))</f>
        <v/>
      </c>
    </row>
    <row r="445">
      <c r="A445" t="inlineStr">
        <is>
          <t>CLOUDLINE-DC</t>
        </is>
      </c>
      <c r="B445" t="inlineStr">
        <is>
          <t>2026-09-26</t>
        </is>
      </c>
      <c r="C445" t="n">
        <v>5</v>
      </c>
      <c r="D445" t="n">
        <v>11</v>
      </c>
      <c r="E445" t="n">
        <v>6</v>
      </c>
      <c r="F445" t="n">
        <v>6174</v>
      </c>
      <c r="G445" t="n">
        <v>0</v>
      </c>
      <c r="H445" t="n">
        <v>202</v>
      </c>
      <c r="I445" t="n">
        <v>0</v>
      </c>
      <c r="J445" t="n">
        <v>202</v>
      </c>
      <c r="K445" t="n">
        <v>0</v>
      </c>
      <c r="L445">
        <f>MIN(F445,J445)</f>
        <v/>
      </c>
      <c r="M445">
        <f>MIN(K445,MAX(0,F445-(J445-K445)))</f>
        <v/>
      </c>
    </row>
    <row r="446">
      <c r="A446" t="inlineStr">
        <is>
          <t>CLOUDLINE-DC</t>
        </is>
      </c>
      <c r="B446" t="inlineStr">
        <is>
          <t>2026-09-26</t>
        </is>
      </c>
      <c r="C446" t="n">
        <v>5</v>
      </c>
      <c r="D446" t="n">
        <v>12</v>
      </c>
      <c r="E446" t="n">
        <v>6</v>
      </c>
      <c r="F446" t="n">
        <v>5818</v>
      </c>
      <c r="G446" t="n">
        <v>0</v>
      </c>
      <c r="H446" t="n">
        <v>278</v>
      </c>
      <c r="I446" t="n">
        <v>0</v>
      </c>
      <c r="J446" t="n">
        <v>278</v>
      </c>
      <c r="K446" t="n">
        <v>0</v>
      </c>
      <c r="L446">
        <f>MIN(F446,J446)</f>
        <v/>
      </c>
      <c r="M446">
        <f>MIN(K446,MAX(0,F446-(J446-K446)))</f>
        <v/>
      </c>
    </row>
    <row r="447">
      <c r="A447" t="inlineStr">
        <is>
          <t>CLOUDLINE-DC</t>
        </is>
      </c>
      <c r="B447" t="inlineStr">
        <is>
          <t>2026-09-26</t>
        </is>
      </c>
      <c r="C447" t="n">
        <v>5</v>
      </c>
      <c r="D447" t="n">
        <v>13</v>
      </c>
      <c r="E447" t="n">
        <v>6</v>
      </c>
      <c r="F447" t="n">
        <v>6055</v>
      </c>
      <c r="G447" t="n">
        <v>0</v>
      </c>
      <c r="H447" t="n">
        <v>478</v>
      </c>
      <c r="I447" t="n">
        <v>0</v>
      </c>
      <c r="J447" t="n">
        <v>478</v>
      </c>
      <c r="K447" t="n">
        <v>0</v>
      </c>
      <c r="L447">
        <f>MIN(F447,J447)</f>
        <v/>
      </c>
      <c r="M447">
        <f>MIN(K447,MAX(0,F447-(J447-K447)))</f>
        <v/>
      </c>
    </row>
    <row r="448">
      <c r="A448" t="inlineStr">
        <is>
          <t>CLOUDLINE-DC</t>
        </is>
      </c>
      <c r="B448" t="inlineStr">
        <is>
          <t>2026-09-26</t>
        </is>
      </c>
      <c r="C448" t="n">
        <v>5</v>
      </c>
      <c r="D448" t="n">
        <v>14</v>
      </c>
      <c r="E448" t="n">
        <v>6</v>
      </c>
      <c r="F448" t="n">
        <v>5699</v>
      </c>
      <c r="G448" t="n">
        <v>0</v>
      </c>
      <c r="H448" t="n">
        <v>700</v>
      </c>
      <c r="I448" t="n">
        <v>0</v>
      </c>
      <c r="J448" t="n">
        <v>700</v>
      </c>
      <c r="K448" t="n">
        <v>0</v>
      </c>
      <c r="L448">
        <f>MIN(F448,J448)</f>
        <v/>
      </c>
      <c r="M448">
        <f>MIN(K448,MAX(0,F448-(J448-K448)))</f>
        <v/>
      </c>
    </row>
    <row r="449">
      <c r="A449" t="inlineStr">
        <is>
          <t>CLOUDLINE-DC</t>
        </is>
      </c>
      <c r="B449" t="inlineStr">
        <is>
          <t>2026-09-26</t>
        </is>
      </c>
      <c r="C449" t="n">
        <v>5</v>
      </c>
      <c r="D449" t="n">
        <v>15</v>
      </c>
      <c r="E449" t="n">
        <v>6</v>
      </c>
      <c r="F449" t="n">
        <v>5936</v>
      </c>
      <c r="G449" t="n">
        <v>0</v>
      </c>
      <c r="H449" t="n">
        <v>943</v>
      </c>
      <c r="I449" t="n">
        <v>0</v>
      </c>
      <c r="J449" t="n">
        <v>943</v>
      </c>
      <c r="K449" t="n">
        <v>0</v>
      </c>
      <c r="L449">
        <f>MIN(F449,J449)</f>
        <v/>
      </c>
      <c r="M449">
        <f>MIN(K449,MAX(0,F449-(J449-K449)))</f>
        <v/>
      </c>
    </row>
    <row r="450">
      <c r="A450" t="inlineStr">
        <is>
          <t>CLOUDLINE-DC</t>
        </is>
      </c>
      <c r="B450" t="inlineStr">
        <is>
          <t>2026-09-26</t>
        </is>
      </c>
      <c r="C450" t="n">
        <v>5</v>
      </c>
      <c r="D450" t="n">
        <v>16</v>
      </c>
      <c r="E450" t="n">
        <v>6</v>
      </c>
      <c r="F450" t="n">
        <v>6174</v>
      </c>
      <c r="G450" t="n">
        <v>0</v>
      </c>
      <c r="H450" t="n">
        <v>685</v>
      </c>
      <c r="I450" t="n">
        <v>0</v>
      </c>
      <c r="J450" t="n">
        <v>685</v>
      </c>
      <c r="K450" t="n">
        <v>0</v>
      </c>
      <c r="L450">
        <f>MIN(F450,J450)</f>
        <v/>
      </c>
      <c r="M450">
        <f>MIN(K450,MAX(0,F450-(J450-K450)))</f>
        <v/>
      </c>
    </row>
    <row r="451">
      <c r="A451" t="inlineStr">
        <is>
          <t>CLOUDLINE-DC</t>
        </is>
      </c>
      <c r="B451" t="inlineStr">
        <is>
          <t>2026-09-26</t>
        </is>
      </c>
      <c r="C451" t="n">
        <v>5</v>
      </c>
      <c r="D451" t="n">
        <v>17</v>
      </c>
      <c r="E451" t="n">
        <v>6</v>
      </c>
      <c r="F451" t="n">
        <v>5818</v>
      </c>
      <c r="G451" t="n">
        <v>0</v>
      </c>
      <c r="H451" t="n">
        <v>481</v>
      </c>
      <c r="I451" t="n">
        <v>0</v>
      </c>
      <c r="J451" t="n">
        <v>481</v>
      </c>
      <c r="K451" t="n">
        <v>0</v>
      </c>
      <c r="L451">
        <f>MIN(F451,J451)</f>
        <v/>
      </c>
      <c r="M451">
        <f>MIN(K451,MAX(0,F451-(J451-K451)))</f>
        <v/>
      </c>
    </row>
    <row r="452">
      <c r="A452" t="inlineStr">
        <is>
          <t>CLOUDLINE-DC</t>
        </is>
      </c>
      <c r="B452" t="inlineStr">
        <is>
          <t>2026-09-26</t>
        </is>
      </c>
      <c r="C452" t="n">
        <v>5</v>
      </c>
      <c r="D452" t="n">
        <v>18</v>
      </c>
      <c r="E452" t="n">
        <v>6</v>
      </c>
      <c r="F452" t="n">
        <v>6055</v>
      </c>
      <c r="G452" t="n">
        <v>0</v>
      </c>
      <c r="H452" t="n">
        <v>142</v>
      </c>
      <c r="I452" t="n">
        <v>0</v>
      </c>
      <c r="J452" t="n">
        <v>142</v>
      </c>
      <c r="K452" t="n">
        <v>0</v>
      </c>
      <c r="L452">
        <f>MIN(F452,J452)</f>
        <v/>
      </c>
      <c r="M452">
        <f>MIN(K452,MAX(0,F452-(J452-K452)))</f>
        <v/>
      </c>
    </row>
    <row r="453">
      <c r="A453" t="inlineStr">
        <is>
          <t>CLOUDLINE-DC</t>
        </is>
      </c>
      <c r="B453" t="inlineStr">
        <is>
          <t>2026-09-26</t>
        </is>
      </c>
      <c r="C453" t="n">
        <v>5</v>
      </c>
      <c r="D453" t="n">
        <v>19</v>
      </c>
      <c r="E453" t="n">
        <v>6</v>
      </c>
      <c r="F453" t="n">
        <v>5699</v>
      </c>
      <c r="G453" t="n">
        <v>0</v>
      </c>
      <c r="H453" t="n">
        <v>164</v>
      </c>
      <c r="I453" t="n">
        <v>0</v>
      </c>
      <c r="J453" t="n">
        <v>164</v>
      </c>
      <c r="K453" t="n">
        <v>0</v>
      </c>
      <c r="L453">
        <f>MIN(F453,J453)</f>
        <v/>
      </c>
      <c r="M453">
        <f>MIN(K453,MAX(0,F453-(J453-K453)))</f>
        <v/>
      </c>
    </row>
    <row r="454">
      <c r="A454" t="inlineStr">
        <is>
          <t>CLOUDLINE-DC</t>
        </is>
      </c>
      <c r="B454" t="inlineStr">
        <is>
          <t>2026-09-26</t>
        </is>
      </c>
      <c r="C454" t="n">
        <v>5</v>
      </c>
      <c r="D454" t="n">
        <v>20</v>
      </c>
      <c r="E454" t="n">
        <v>6</v>
      </c>
      <c r="F454" t="n">
        <v>5936</v>
      </c>
      <c r="G454" t="n">
        <v>0</v>
      </c>
      <c r="H454" t="n">
        <v>222</v>
      </c>
      <c r="I454" t="n">
        <v>0</v>
      </c>
      <c r="J454" t="n">
        <v>222</v>
      </c>
      <c r="K454" t="n">
        <v>0</v>
      </c>
      <c r="L454">
        <f>MIN(F454,J454)</f>
        <v/>
      </c>
      <c r="M454">
        <f>MIN(K454,MAX(0,F454-(J454-K454)))</f>
        <v/>
      </c>
    </row>
    <row r="455">
      <c r="A455" t="inlineStr">
        <is>
          <t>CLOUDLINE-DC</t>
        </is>
      </c>
      <c r="B455" t="inlineStr">
        <is>
          <t>2026-09-26</t>
        </is>
      </c>
      <c r="C455" t="n">
        <v>5</v>
      </c>
      <c r="D455" t="n">
        <v>21</v>
      </c>
      <c r="E455" t="n">
        <v>6</v>
      </c>
      <c r="F455" t="n">
        <v>6174</v>
      </c>
      <c r="G455" t="n">
        <v>0</v>
      </c>
      <c r="H455" t="n">
        <v>262</v>
      </c>
      <c r="I455" t="n">
        <v>0</v>
      </c>
      <c r="J455" t="n">
        <v>262</v>
      </c>
      <c r="K455" t="n">
        <v>0</v>
      </c>
      <c r="L455">
        <f>MIN(F455,J455)</f>
        <v/>
      </c>
      <c r="M455">
        <f>MIN(K455,MAX(0,F455-(J455-K455)))</f>
        <v/>
      </c>
    </row>
    <row r="456">
      <c r="A456" t="inlineStr">
        <is>
          <t>CLOUDLINE-DC</t>
        </is>
      </c>
      <c r="B456" t="inlineStr">
        <is>
          <t>2026-09-26</t>
        </is>
      </c>
      <c r="C456" t="n">
        <v>5</v>
      </c>
      <c r="D456" t="n">
        <v>22</v>
      </c>
      <c r="E456" t="n">
        <v>6</v>
      </c>
      <c r="F456" t="n">
        <v>5818</v>
      </c>
      <c r="G456" t="n">
        <v>0</v>
      </c>
      <c r="H456" t="n">
        <v>353</v>
      </c>
      <c r="I456" t="n">
        <v>0</v>
      </c>
      <c r="J456" t="n">
        <v>353</v>
      </c>
      <c r="K456" t="n">
        <v>0</v>
      </c>
      <c r="L456">
        <f>MIN(F456,J456)</f>
        <v/>
      </c>
      <c r="M456">
        <f>MIN(K456,MAX(0,F456-(J456-K456)))</f>
        <v/>
      </c>
    </row>
    <row r="457">
      <c r="A457" t="inlineStr">
        <is>
          <t>CLOUDLINE-DC</t>
        </is>
      </c>
      <c r="B457" t="inlineStr">
        <is>
          <t>2026-09-26</t>
        </is>
      </c>
      <c r="C457" t="n">
        <v>5</v>
      </c>
      <c r="D457" t="n">
        <v>23</v>
      </c>
      <c r="E457" t="n">
        <v>6</v>
      </c>
      <c r="F457" t="n">
        <v>6055</v>
      </c>
      <c r="G457" t="n">
        <v>0</v>
      </c>
      <c r="H457" t="n">
        <v>492</v>
      </c>
      <c r="I457" t="n">
        <v>0</v>
      </c>
      <c r="J457" t="n">
        <v>492</v>
      </c>
      <c r="K457" t="n">
        <v>0</v>
      </c>
      <c r="L457">
        <f>MIN(F457,J457)</f>
        <v/>
      </c>
      <c r="M457">
        <f>MIN(K457,MAX(0,F457-(J457-K457)))</f>
        <v/>
      </c>
    </row>
    <row r="458">
      <c r="A458" t="inlineStr">
        <is>
          <t>CLOUDLINE-DC</t>
        </is>
      </c>
      <c r="B458" t="inlineStr">
        <is>
          <t>2026-09-27</t>
        </is>
      </c>
      <c r="C458" t="n">
        <v>6</v>
      </c>
      <c r="D458" t="n">
        <v>0</v>
      </c>
      <c r="E458" t="n">
        <v>7</v>
      </c>
      <c r="F458" t="n">
        <v>5699</v>
      </c>
      <c r="G458" t="n">
        <v>0</v>
      </c>
      <c r="H458" t="n">
        <v>446</v>
      </c>
      <c r="I458" t="n">
        <v>0</v>
      </c>
      <c r="J458" t="n">
        <v>446</v>
      </c>
      <c r="K458" t="n">
        <v>0</v>
      </c>
      <c r="L458">
        <f>MIN(F458,J458)</f>
        <v/>
      </c>
      <c r="M458">
        <f>MIN(K458,MAX(0,F458-(J458-K458)))</f>
        <v/>
      </c>
    </row>
    <row r="459">
      <c r="A459" t="inlineStr">
        <is>
          <t>CLOUDLINE-DC</t>
        </is>
      </c>
      <c r="B459" t="inlineStr">
        <is>
          <t>2026-09-27</t>
        </is>
      </c>
      <c r="C459" t="n">
        <v>6</v>
      </c>
      <c r="D459" t="n">
        <v>1</v>
      </c>
      <c r="E459" t="n">
        <v>7</v>
      </c>
      <c r="F459" t="n">
        <v>5936</v>
      </c>
      <c r="G459" t="n">
        <v>0</v>
      </c>
      <c r="H459" t="n">
        <v>312</v>
      </c>
      <c r="I459" t="n">
        <v>0</v>
      </c>
      <c r="J459" t="n">
        <v>312</v>
      </c>
      <c r="K459" t="n">
        <v>0</v>
      </c>
      <c r="L459">
        <f>MIN(F459,J459)</f>
        <v/>
      </c>
      <c r="M459">
        <f>MIN(K459,MAX(0,F459-(J459-K459)))</f>
        <v/>
      </c>
    </row>
    <row r="460">
      <c r="A460" t="inlineStr">
        <is>
          <t>CLOUDLINE-DC</t>
        </is>
      </c>
      <c r="B460" t="inlineStr">
        <is>
          <t>2026-09-27</t>
        </is>
      </c>
      <c r="C460" t="n">
        <v>6</v>
      </c>
      <c r="D460" t="n">
        <v>2</v>
      </c>
      <c r="E460" t="n">
        <v>7</v>
      </c>
      <c r="F460" t="n">
        <v>6174</v>
      </c>
      <c r="G460" t="n">
        <v>0</v>
      </c>
      <c r="H460" t="n">
        <v>347</v>
      </c>
      <c r="I460" t="n">
        <v>0</v>
      </c>
      <c r="J460" t="n">
        <v>347</v>
      </c>
      <c r="K460" t="n">
        <v>0</v>
      </c>
      <c r="L460">
        <f>MIN(F460,J460)</f>
        <v/>
      </c>
      <c r="M460">
        <f>MIN(K460,MAX(0,F460-(J460-K460)))</f>
        <v/>
      </c>
    </row>
    <row r="461">
      <c r="A461" t="inlineStr">
        <is>
          <t>CLOUDLINE-DC</t>
        </is>
      </c>
      <c r="B461" t="inlineStr">
        <is>
          <t>2026-09-27</t>
        </is>
      </c>
      <c r="C461" t="n">
        <v>6</v>
      </c>
      <c r="D461" t="n">
        <v>3</v>
      </c>
      <c r="E461" t="n">
        <v>7</v>
      </c>
      <c r="F461" t="n">
        <v>5818</v>
      </c>
      <c r="G461" t="n">
        <v>0</v>
      </c>
      <c r="H461" t="n">
        <v>761</v>
      </c>
      <c r="I461" t="n">
        <v>0</v>
      </c>
      <c r="J461" t="n">
        <v>761</v>
      </c>
      <c r="K461" t="n">
        <v>0</v>
      </c>
      <c r="L461">
        <f>MIN(F461,J461)</f>
        <v/>
      </c>
      <c r="M461">
        <f>MIN(K461,MAX(0,F461-(J461-K461)))</f>
        <v/>
      </c>
    </row>
    <row r="462">
      <c r="A462" t="inlineStr">
        <is>
          <t>CLOUDLINE-DC</t>
        </is>
      </c>
      <c r="B462" t="inlineStr">
        <is>
          <t>2026-09-27</t>
        </is>
      </c>
      <c r="C462" t="n">
        <v>6</v>
      </c>
      <c r="D462" t="n">
        <v>4</v>
      </c>
      <c r="E462" t="n">
        <v>7</v>
      </c>
      <c r="F462" t="n">
        <v>6055</v>
      </c>
      <c r="G462" t="n">
        <v>0</v>
      </c>
      <c r="H462" t="n">
        <v>1301</v>
      </c>
      <c r="I462" t="n">
        <v>0</v>
      </c>
      <c r="J462" t="n">
        <v>1301</v>
      </c>
      <c r="K462" t="n">
        <v>0</v>
      </c>
      <c r="L462">
        <f>MIN(F462,J462)</f>
        <v/>
      </c>
      <c r="M462">
        <f>MIN(K462,MAX(0,F462-(J462-K462)))</f>
        <v/>
      </c>
    </row>
    <row r="463">
      <c r="A463" t="inlineStr">
        <is>
          <t>CLOUDLINE-DC</t>
        </is>
      </c>
      <c r="B463" t="inlineStr">
        <is>
          <t>2026-09-27</t>
        </is>
      </c>
      <c r="C463" t="n">
        <v>6</v>
      </c>
      <c r="D463" t="n">
        <v>5</v>
      </c>
      <c r="E463" t="n">
        <v>7</v>
      </c>
      <c r="F463" t="n">
        <v>5699</v>
      </c>
      <c r="G463" t="n">
        <v>0</v>
      </c>
      <c r="H463" t="n">
        <v>1551</v>
      </c>
      <c r="I463" t="n">
        <v>0</v>
      </c>
      <c r="J463" t="n">
        <v>1551</v>
      </c>
      <c r="K463" t="n">
        <v>0</v>
      </c>
      <c r="L463">
        <f>MIN(F463,J463)</f>
        <v/>
      </c>
      <c r="M463">
        <f>MIN(K463,MAX(0,F463-(J463-K463)))</f>
        <v/>
      </c>
    </row>
    <row r="464">
      <c r="A464" t="inlineStr">
        <is>
          <t>CLOUDLINE-DC</t>
        </is>
      </c>
      <c r="B464" t="inlineStr">
        <is>
          <t>2026-09-27</t>
        </is>
      </c>
      <c r="C464" t="n">
        <v>6</v>
      </c>
      <c r="D464" t="n">
        <v>6</v>
      </c>
      <c r="E464" t="n">
        <v>7</v>
      </c>
      <c r="F464" t="n">
        <v>5936</v>
      </c>
      <c r="G464" t="n">
        <v>0</v>
      </c>
      <c r="H464" t="n">
        <v>1578</v>
      </c>
      <c r="I464" t="n">
        <v>0</v>
      </c>
      <c r="J464" t="n">
        <v>1578</v>
      </c>
      <c r="K464" t="n">
        <v>0</v>
      </c>
      <c r="L464">
        <f>MIN(F464,J464)</f>
        <v/>
      </c>
      <c r="M464">
        <f>MIN(K464,MAX(0,F464-(J464-K464)))</f>
        <v/>
      </c>
    </row>
    <row r="465">
      <c r="A465" t="inlineStr">
        <is>
          <t>CLOUDLINE-DC</t>
        </is>
      </c>
      <c r="B465" t="inlineStr">
        <is>
          <t>2026-09-27</t>
        </is>
      </c>
      <c r="C465" t="n">
        <v>6</v>
      </c>
      <c r="D465" t="n">
        <v>7</v>
      </c>
      <c r="E465" t="n">
        <v>7</v>
      </c>
      <c r="F465" t="n">
        <v>6174</v>
      </c>
      <c r="G465" t="n">
        <v>0</v>
      </c>
      <c r="H465" t="n">
        <v>1833</v>
      </c>
      <c r="I465" t="n">
        <v>0</v>
      </c>
      <c r="J465" t="n">
        <v>1833</v>
      </c>
      <c r="K465" t="n">
        <v>0</v>
      </c>
      <c r="L465">
        <f>MIN(F465,J465)</f>
        <v/>
      </c>
      <c r="M465">
        <f>MIN(K465,MAX(0,F465-(J465-K465)))</f>
        <v/>
      </c>
    </row>
    <row r="466">
      <c r="A466" t="inlineStr">
        <is>
          <t>CLOUDLINE-DC</t>
        </is>
      </c>
      <c r="B466" t="inlineStr">
        <is>
          <t>2026-09-27</t>
        </is>
      </c>
      <c r="C466" t="n">
        <v>6</v>
      </c>
      <c r="D466" t="n">
        <v>8</v>
      </c>
      <c r="E466" t="n">
        <v>7</v>
      </c>
      <c r="F466" t="n">
        <v>5818</v>
      </c>
      <c r="G466" t="n">
        <v>0</v>
      </c>
      <c r="H466" t="n">
        <v>2093</v>
      </c>
      <c r="I466" t="n">
        <v>0</v>
      </c>
      <c r="J466" t="n">
        <v>2093</v>
      </c>
      <c r="K466" t="n">
        <v>0</v>
      </c>
      <c r="L466">
        <f>MIN(F466,J466)</f>
        <v/>
      </c>
      <c r="M466">
        <f>MIN(K466,MAX(0,F466-(J466-K466)))</f>
        <v/>
      </c>
    </row>
    <row r="467">
      <c r="A467" t="inlineStr">
        <is>
          <t>CLOUDLINE-DC</t>
        </is>
      </c>
      <c r="B467" t="inlineStr">
        <is>
          <t>2026-09-27</t>
        </is>
      </c>
      <c r="C467" t="n">
        <v>6</v>
      </c>
      <c r="D467" t="n">
        <v>9</v>
      </c>
      <c r="E467" t="n">
        <v>7</v>
      </c>
      <c r="F467" t="n">
        <v>6055</v>
      </c>
      <c r="G467" t="n">
        <v>0</v>
      </c>
      <c r="H467" t="n">
        <v>3412</v>
      </c>
      <c r="I467" t="n">
        <v>0</v>
      </c>
      <c r="J467" t="n">
        <v>3412</v>
      </c>
      <c r="K467" t="n">
        <v>0</v>
      </c>
      <c r="L467">
        <f>MIN(F467,J467)</f>
        <v/>
      </c>
      <c r="M467">
        <f>MIN(K467,MAX(0,F467-(J467-K467)))</f>
        <v/>
      </c>
    </row>
    <row r="468">
      <c r="A468" t="inlineStr">
        <is>
          <t>CLOUDLINE-DC</t>
        </is>
      </c>
      <c r="B468" t="inlineStr">
        <is>
          <t>2026-09-27</t>
        </is>
      </c>
      <c r="C468" t="n">
        <v>6</v>
      </c>
      <c r="D468" t="n">
        <v>10</v>
      </c>
      <c r="E468" t="n">
        <v>7</v>
      </c>
      <c r="F468" t="n">
        <v>5699</v>
      </c>
      <c r="G468" t="n">
        <v>0</v>
      </c>
      <c r="H468" t="n">
        <v>4661</v>
      </c>
      <c r="I468" t="n">
        <v>0</v>
      </c>
      <c r="J468" t="n">
        <v>4661</v>
      </c>
      <c r="K468" t="n">
        <v>0</v>
      </c>
      <c r="L468">
        <f>MIN(F468,J468)</f>
        <v/>
      </c>
      <c r="M468">
        <f>MIN(K468,MAX(0,F468-(J468-K468)))</f>
        <v/>
      </c>
    </row>
    <row r="469">
      <c r="A469" t="inlineStr">
        <is>
          <t>CLOUDLINE-DC</t>
        </is>
      </c>
      <c r="B469" t="inlineStr">
        <is>
          <t>2026-09-27</t>
        </is>
      </c>
      <c r="C469" t="n">
        <v>6</v>
      </c>
      <c r="D469" t="n">
        <v>11</v>
      </c>
      <c r="E469" t="n">
        <v>7</v>
      </c>
      <c r="F469" t="n">
        <v>5936</v>
      </c>
      <c r="G469" t="n">
        <v>0</v>
      </c>
      <c r="H469" t="n">
        <v>4435</v>
      </c>
      <c r="I469" t="n">
        <v>0</v>
      </c>
      <c r="J469" t="n">
        <v>4435</v>
      </c>
      <c r="K469" t="n">
        <v>0</v>
      </c>
      <c r="L469">
        <f>MIN(F469,J469)</f>
        <v/>
      </c>
      <c r="M469">
        <f>MIN(K469,MAX(0,F469-(J469-K469)))</f>
        <v/>
      </c>
    </row>
    <row r="470">
      <c r="A470" t="inlineStr">
        <is>
          <t>CLOUDLINE-DC</t>
        </is>
      </c>
      <c r="B470" t="inlineStr">
        <is>
          <t>2026-09-27</t>
        </is>
      </c>
      <c r="C470" t="n">
        <v>6</v>
      </c>
      <c r="D470" t="n">
        <v>12</v>
      </c>
      <c r="E470" t="n">
        <v>7</v>
      </c>
      <c r="F470" t="n">
        <v>6174</v>
      </c>
      <c r="G470" t="n">
        <v>0</v>
      </c>
      <c r="H470" t="n">
        <v>4005</v>
      </c>
      <c r="I470" t="n">
        <v>0</v>
      </c>
      <c r="J470" t="n">
        <v>4005</v>
      </c>
      <c r="K470" t="n">
        <v>0</v>
      </c>
      <c r="L470">
        <f>MIN(F470,J470)</f>
        <v/>
      </c>
      <c r="M470">
        <f>MIN(K470,MAX(0,F470-(J470-K470)))</f>
        <v/>
      </c>
    </row>
    <row r="471">
      <c r="A471" t="inlineStr">
        <is>
          <t>CLOUDLINE-DC</t>
        </is>
      </c>
      <c r="B471" t="inlineStr">
        <is>
          <t>2026-09-27</t>
        </is>
      </c>
      <c r="C471" t="n">
        <v>6</v>
      </c>
      <c r="D471" t="n">
        <v>13</v>
      </c>
      <c r="E471" t="n">
        <v>7</v>
      </c>
      <c r="F471" t="n">
        <v>5818</v>
      </c>
      <c r="G471" t="n">
        <v>0</v>
      </c>
      <c r="H471" t="n">
        <v>3813</v>
      </c>
      <c r="I471" t="n">
        <v>0</v>
      </c>
      <c r="J471" t="n">
        <v>3813</v>
      </c>
      <c r="K471" t="n">
        <v>0</v>
      </c>
      <c r="L471">
        <f>MIN(F471,J471)</f>
        <v/>
      </c>
      <c r="M471">
        <f>MIN(K471,MAX(0,F471-(J471-K471)))</f>
        <v/>
      </c>
    </row>
    <row r="472">
      <c r="A472" t="inlineStr">
        <is>
          <t>CLOUDLINE-DC</t>
        </is>
      </c>
      <c r="B472" t="inlineStr">
        <is>
          <t>2026-09-27</t>
        </is>
      </c>
      <c r="C472" t="n">
        <v>6</v>
      </c>
      <c r="D472" t="n">
        <v>14</v>
      </c>
      <c r="E472" t="n">
        <v>7</v>
      </c>
      <c r="F472" t="n">
        <v>6055</v>
      </c>
      <c r="G472" t="n">
        <v>0</v>
      </c>
      <c r="H472" t="n">
        <v>3273</v>
      </c>
      <c r="I472" t="n">
        <v>0</v>
      </c>
      <c r="J472" t="n">
        <v>3273</v>
      </c>
      <c r="K472" t="n">
        <v>0</v>
      </c>
      <c r="L472">
        <f>MIN(F472,J472)</f>
        <v/>
      </c>
      <c r="M472">
        <f>MIN(K472,MAX(0,F472-(J472-K472)))</f>
        <v/>
      </c>
    </row>
    <row r="473">
      <c r="A473" t="inlineStr">
        <is>
          <t>CLOUDLINE-DC</t>
        </is>
      </c>
      <c r="B473" t="inlineStr">
        <is>
          <t>2026-09-27</t>
        </is>
      </c>
      <c r="C473" t="n">
        <v>6</v>
      </c>
      <c r="D473" t="n">
        <v>15</v>
      </c>
      <c r="E473" t="n">
        <v>7</v>
      </c>
      <c r="F473" t="n">
        <v>5699</v>
      </c>
      <c r="G473" t="n">
        <v>0</v>
      </c>
      <c r="H473" t="n">
        <v>3147</v>
      </c>
      <c r="I473" t="n">
        <v>0</v>
      </c>
      <c r="J473" t="n">
        <v>3147</v>
      </c>
      <c r="K473" t="n">
        <v>0</v>
      </c>
      <c r="L473">
        <f>MIN(F473,J473)</f>
        <v/>
      </c>
      <c r="M473">
        <f>MIN(K473,MAX(0,F473-(J473-K473)))</f>
        <v/>
      </c>
    </row>
    <row r="474">
      <c r="A474" t="inlineStr">
        <is>
          <t>CLOUDLINE-DC</t>
        </is>
      </c>
      <c r="B474" t="inlineStr">
        <is>
          <t>2026-09-27</t>
        </is>
      </c>
      <c r="C474" t="n">
        <v>6</v>
      </c>
      <c r="D474" t="n">
        <v>16</v>
      </c>
      <c r="E474" t="n">
        <v>7</v>
      </c>
      <c r="F474" t="n">
        <v>5936</v>
      </c>
      <c r="G474" t="n">
        <v>0</v>
      </c>
      <c r="H474" t="n">
        <v>2938</v>
      </c>
      <c r="I474" t="n">
        <v>0</v>
      </c>
      <c r="J474" t="n">
        <v>2938</v>
      </c>
      <c r="K474" t="n">
        <v>0</v>
      </c>
      <c r="L474">
        <f>MIN(F474,J474)</f>
        <v/>
      </c>
      <c r="M474">
        <f>MIN(K474,MAX(0,F474-(J474-K474)))</f>
        <v/>
      </c>
    </row>
    <row r="475">
      <c r="A475" t="inlineStr">
        <is>
          <t>CLOUDLINE-DC</t>
        </is>
      </c>
      <c r="B475" t="inlineStr">
        <is>
          <t>2026-09-27</t>
        </is>
      </c>
      <c r="C475" t="n">
        <v>6</v>
      </c>
      <c r="D475" t="n">
        <v>17</v>
      </c>
      <c r="E475" t="n">
        <v>7</v>
      </c>
      <c r="F475" t="n">
        <v>6174</v>
      </c>
      <c r="G475" t="n">
        <v>0</v>
      </c>
      <c r="H475" t="n">
        <v>2645</v>
      </c>
      <c r="I475" t="n">
        <v>0</v>
      </c>
      <c r="J475" t="n">
        <v>2645</v>
      </c>
      <c r="K475" t="n">
        <v>0</v>
      </c>
      <c r="L475">
        <f>MIN(F475,J475)</f>
        <v/>
      </c>
      <c r="M475">
        <f>MIN(K475,MAX(0,F475-(J475-K475)))</f>
        <v/>
      </c>
    </row>
    <row r="476">
      <c r="A476" t="inlineStr">
        <is>
          <t>CLOUDLINE-DC</t>
        </is>
      </c>
      <c r="B476" t="inlineStr">
        <is>
          <t>2026-09-27</t>
        </is>
      </c>
      <c r="C476" t="n">
        <v>6</v>
      </c>
      <c r="D476" t="n">
        <v>18</v>
      </c>
      <c r="E476" t="n">
        <v>7</v>
      </c>
      <c r="F476" t="n">
        <v>5818</v>
      </c>
      <c r="G476" t="n">
        <v>0</v>
      </c>
      <c r="H476" t="n">
        <v>2680</v>
      </c>
      <c r="I476" t="n">
        <v>0</v>
      </c>
      <c r="J476" t="n">
        <v>2680</v>
      </c>
      <c r="K476" t="n">
        <v>0</v>
      </c>
      <c r="L476">
        <f>MIN(F476,J476)</f>
        <v/>
      </c>
      <c r="M476">
        <f>MIN(K476,MAX(0,F476-(J476-K476)))</f>
        <v/>
      </c>
    </row>
    <row r="477">
      <c r="A477" t="inlineStr">
        <is>
          <t>CLOUDLINE-DC</t>
        </is>
      </c>
      <c r="B477" t="inlineStr">
        <is>
          <t>2026-09-27</t>
        </is>
      </c>
      <c r="C477" t="n">
        <v>6</v>
      </c>
      <c r="D477" t="n">
        <v>19</v>
      </c>
      <c r="E477" t="n">
        <v>7</v>
      </c>
      <c r="F477" t="n">
        <v>6055</v>
      </c>
      <c r="G477" t="n">
        <v>0</v>
      </c>
      <c r="H477" t="n">
        <v>3097</v>
      </c>
      <c r="I477" t="n">
        <v>0</v>
      </c>
      <c r="J477" t="n">
        <v>3097</v>
      </c>
      <c r="K477" t="n">
        <v>0</v>
      </c>
      <c r="L477">
        <f>MIN(F477,J477)</f>
        <v/>
      </c>
      <c r="M477">
        <f>MIN(K477,MAX(0,F477-(J477-K477)))</f>
        <v/>
      </c>
    </row>
    <row r="478">
      <c r="A478" t="inlineStr">
        <is>
          <t>CLOUDLINE-DC</t>
        </is>
      </c>
      <c r="B478" t="inlineStr">
        <is>
          <t>2026-09-27</t>
        </is>
      </c>
      <c r="C478" t="n">
        <v>6</v>
      </c>
      <c r="D478" t="n">
        <v>20</v>
      </c>
      <c r="E478" t="n">
        <v>7</v>
      </c>
      <c r="F478" t="n">
        <v>5699</v>
      </c>
      <c r="G478" t="n">
        <v>0</v>
      </c>
      <c r="H478" t="n">
        <v>4130</v>
      </c>
      <c r="I478" t="n">
        <v>0</v>
      </c>
      <c r="J478" t="n">
        <v>4130</v>
      </c>
      <c r="K478" t="n">
        <v>0</v>
      </c>
      <c r="L478">
        <f>MIN(F478,J478)</f>
        <v/>
      </c>
      <c r="M478">
        <f>MIN(K478,MAX(0,F478-(J478-K478)))</f>
        <v/>
      </c>
    </row>
    <row r="479">
      <c r="A479" t="inlineStr">
        <is>
          <t>CLOUDLINE-DC</t>
        </is>
      </c>
      <c r="B479" t="inlineStr">
        <is>
          <t>2026-09-27</t>
        </is>
      </c>
      <c r="C479" t="n">
        <v>6</v>
      </c>
      <c r="D479" t="n">
        <v>21</v>
      </c>
      <c r="E479" t="n">
        <v>7</v>
      </c>
      <c r="F479" t="n">
        <v>5936</v>
      </c>
      <c r="G479" t="n">
        <v>0</v>
      </c>
      <c r="H479" t="n">
        <v>3737</v>
      </c>
      <c r="I479" t="n">
        <v>0</v>
      </c>
      <c r="J479" t="n">
        <v>3737</v>
      </c>
      <c r="K479" t="n">
        <v>0</v>
      </c>
      <c r="L479">
        <f>MIN(F479,J479)</f>
        <v/>
      </c>
      <c r="M479">
        <f>MIN(K479,MAX(0,F479-(J479-K479)))</f>
        <v/>
      </c>
    </row>
    <row r="480">
      <c r="A480" t="inlineStr">
        <is>
          <t>CLOUDLINE-DC</t>
        </is>
      </c>
      <c r="B480" t="inlineStr">
        <is>
          <t>2026-09-27</t>
        </is>
      </c>
      <c r="C480" t="n">
        <v>6</v>
      </c>
      <c r="D480" t="n">
        <v>22</v>
      </c>
      <c r="E480" t="n">
        <v>7</v>
      </c>
      <c r="F480" t="n">
        <v>6174</v>
      </c>
      <c r="G480" t="n">
        <v>0</v>
      </c>
      <c r="H480" t="n">
        <v>3145</v>
      </c>
      <c r="I480" t="n">
        <v>0</v>
      </c>
      <c r="J480" t="n">
        <v>3145</v>
      </c>
      <c r="K480" t="n">
        <v>0</v>
      </c>
      <c r="L480">
        <f>MIN(F480,J480)</f>
        <v/>
      </c>
      <c r="M480">
        <f>MIN(K480,MAX(0,F480-(J480-K480)))</f>
        <v/>
      </c>
    </row>
    <row r="481">
      <c r="A481" t="inlineStr">
        <is>
          <t>CLOUDLINE-DC</t>
        </is>
      </c>
      <c r="B481" t="inlineStr">
        <is>
          <t>2026-09-27</t>
        </is>
      </c>
      <c r="C481" t="n">
        <v>6</v>
      </c>
      <c r="D481" t="n">
        <v>23</v>
      </c>
      <c r="E481" t="n">
        <v>7</v>
      </c>
      <c r="F481" t="n">
        <v>5818</v>
      </c>
      <c r="G481" t="n">
        <v>0</v>
      </c>
      <c r="H481" t="n">
        <v>3710</v>
      </c>
      <c r="I481" t="n">
        <v>0</v>
      </c>
      <c r="J481" t="n">
        <v>3710</v>
      </c>
      <c r="K481" t="n">
        <v>0</v>
      </c>
      <c r="L481">
        <f>MIN(F481,J481)</f>
        <v/>
      </c>
      <c r="M481">
        <f>MIN(K481,MAX(0,F481-(J481-K481)))</f>
        <v/>
      </c>
    </row>
    <row r="482">
      <c r="A482" t="inlineStr">
        <is>
          <t>CLOUDLINE-DC</t>
        </is>
      </c>
      <c r="B482" t="inlineStr">
        <is>
          <t>2026-09-28</t>
        </is>
      </c>
      <c r="C482" t="n">
        <v>7</v>
      </c>
      <c r="D482" t="n">
        <v>0</v>
      </c>
      <c r="E482" t="n">
        <v>1</v>
      </c>
      <c r="F482" t="n">
        <v>6055</v>
      </c>
      <c r="G482" t="n">
        <v>0</v>
      </c>
      <c r="H482" t="n">
        <v>3486</v>
      </c>
      <c r="I482" t="n">
        <v>0</v>
      </c>
      <c r="J482" t="n">
        <v>3486</v>
      </c>
      <c r="K482" t="n">
        <v>0</v>
      </c>
      <c r="L482">
        <f>MIN(F482,J482)</f>
        <v/>
      </c>
      <c r="M482">
        <f>MIN(K482,MAX(0,F482-(J482-K482)))</f>
        <v/>
      </c>
    </row>
    <row r="483">
      <c r="A483" t="inlineStr">
        <is>
          <t>CLOUDLINE-DC</t>
        </is>
      </c>
      <c r="B483" t="inlineStr">
        <is>
          <t>2026-09-28</t>
        </is>
      </c>
      <c r="C483" t="n">
        <v>7</v>
      </c>
      <c r="D483" t="n">
        <v>1</v>
      </c>
      <c r="E483" t="n">
        <v>1</v>
      </c>
      <c r="F483" t="n">
        <v>5699</v>
      </c>
      <c r="G483" t="n">
        <v>0</v>
      </c>
      <c r="H483" t="n">
        <v>4448</v>
      </c>
      <c r="I483" t="n">
        <v>0</v>
      </c>
      <c r="J483" t="n">
        <v>4448</v>
      </c>
      <c r="K483" t="n">
        <v>0</v>
      </c>
      <c r="L483">
        <f>MIN(F483,J483)</f>
        <v/>
      </c>
      <c r="M483">
        <f>MIN(K483,MAX(0,F483-(J483-K483)))</f>
        <v/>
      </c>
    </row>
    <row r="484">
      <c r="A484" t="inlineStr">
        <is>
          <t>CLOUDLINE-DC</t>
        </is>
      </c>
      <c r="B484" t="inlineStr">
        <is>
          <t>2026-09-28</t>
        </is>
      </c>
      <c r="C484" t="n">
        <v>7</v>
      </c>
      <c r="D484" t="n">
        <v>2</v>
      </c>
      <c r="E484" t="n">
        <v>1</v>
      </c>
      <c r="F484" t="n">
        <v>5936</v>
      </c>
      <c r="G484" t="n">
        <v>0</v>
      </c>
      <c r="H484" t="n">
        <v>5182</v>
      </c>
      <c r="I484" t="n">
        <v>0</v>
      </c>
      <c r="J484" t="n">
        <v>5182</v>
      </c>
      <c r="K484" t="n">
        <v>0</v>
      </c>
      <c r="L484">
        <f>MIN(F484,J484)</f>
        <v/>
      </c>
      <c r="M484">
        <f>MIN(K484,MAX(0,F484-(J484-K484)))</f>
        <v/>
      </c>
    </row>
    <row r="485">
      <c r="A485" t="inlineStr">
        <is>
          <t>CLOUDLINE-DC</t>
        </is>
      </c>
      <c r="B485" t="inlineStr">
        <is>
          <t>2026-09-28</t>
        </is>
      </c>
      <c r="C485" t="n">
        <v>7</v>
      </c>
      <c r="D485" t="n">
        <v>3</v>
      </c>
      <c r="E485" t="n">
        <v>1</v>
      </c>
      <c r="F485" t="n">
        <v>6174</v>
      </c>
      <c r="G485" t="n">
        <v>0</v>
      </c>
      <c r="H485" t="n">
        <v>5823</v>
      </c>
      <c r="I485" t="n">
        <v>0</v>
      </c>
      <c r="J485" t="n">
        <v>5823</v>
      </c>
      <c r="K485" t="n">
        <v>0</v>
      </c>
      <c r="L485">
        <f>MIN(F485,J485)</f>
        <v/>
      </c>
      <c r="M485">
        <f>MIN(K485,MAX(0,F485-(J485-K485)))</f>
        <v/>
      </c>
    </row>
    <row r="486">
      <c r="A486" t="inlineStr">
        <is>
          <t>CLOUDLINE-DC</t>
        </is>
      </c>
      <c r="B486" t="inlineStr">
        <is>
          <t>2026-09-28</t>
        </is>
      </c>
      <c r="C486" t="n">
        <v>7</v>
      </c>
      <c r="D486" t="n">
        <v>4</v>
      </c>
      <c r="E486" t="n">
        <v>1</v>
      </c>
      <c r="F486" t="n">
        <v>5818</v>
      </c>
      <c r="G486" t="n">
        <v>0</v>
      </c>
      <c r="H486" t="n">
        <v>7137</v>
      </c>
      <c r="I486" t="n">
        <v>0</v>
      </c>
      <c r="J486" t="n">
        <v>7137</v>
      </c>
      <c r="K486" t="n">
        <v>0</v>
      </c>
      <c r="L486">
        <f>MIN(F486,J486)</f>
        <v/>
      </c>
      <c r="M486">
        <f>MIN(K486,MAX(0,F486-(J486-K486)))</f>
        <v/>
      </c>
    </row>
    <row r="487">
      <c r="A487" t="inlineStr">
        <is>
          <t>CLOUDLINE-DC</t>
        </is>
      </c>
      <c r="B487" t="inlineStr">
        <is>
          <t>2026-09-28</t>
        </is>
      </c>
      <c r="C487" t="n">
        <v>7</v>
      </c>
      <c r="D487" t="n">
        <v>5</v>
      </c>
      <c r="E487" t="n">
        <v>1</v>
      </c>
      <c r="F487" t="n">
        <v>6055</v>
      </c>
      <c r="G487" t="n">
        <v>0</v>
      </c>
      <c r="H487" t="n">
        <v>5998</v>
      </c>
      <c r="I487" t="n">
        <v>0</v>
      </c>
      <c r="J487" t="n">
        <v>5998</v>
      </c>
      <c r="K487" t="n">
        <v>0</v>
      </c>
      <c r="L487">
        <f>MIN(F487,J487)</f>
        <v/>
      </c>
      <c r="M487">
        <f>MIN(K487,MAX(0,F487-(J487-K487)))</f>
        <v/>
      </c>
    </row>
    <row r="488">
      <c r="A488" t="inlineStr">
        <is>
          <t>CLOUDLINE-DC</t>
        </is>
      </c>
      <c r="B488" t="inlineStr">
        <is>
          <t>2026-09-28</t>
        </is>
      </c>
      <c r="C488" t="n">
        <v>7</v>
      </c>
      <c r="D488" t="n">
        <v>6</v>
      </c>
      <c r="E488" t="n">
        <v>1</v>
      </c>
      <c r="F488" t="n">
        <v>5699</v>
      </c>
      <c r="G488" t="n">
        <v>0</v>
      </c>
      <c r="H488" t="n">
        <v>4339</v>
      </c>
      <c r="I488" t="n">
        <v>0</v>
      </c>
      <c r="J488" t="n">
        <v>4339</v>
      </c>
      <c r="K488" t="n">
        <v>0</v>
      </c>
      <c r="L488">
        <f>MIN(F488,J488)</f>
        <v/>
      </c>
      <c r="M488">
        <f>MIN(K488,MAX(0,F488-(J488-K488)))</f>
        <v/>
      </c>
    </row>
    <row r="489">
      <c r="A489" t="inlineStr">
        <is>
          <t>CLOUDLINE-DC</t>
        </is>
      </c>
      <c r="B489" t="inlineStr">
        <is>
          <t>2026-09-28</t>
        </is>
      </c>
      <c r="C489" t="n">
        <v>7</v>
      </c>
      <c r="D489" t="n">
        <v>7</v>
      </c>
      <c r="E489" t="n">
        <v>1</v>
      </c>
      <c r="F489" t="n">
        <v>5936</v>
      </c>
      <c r="G489" t="n">
        <v>0</v>
      </c>
      <c r="H489" t="n">
        <v>3769</v>
      </c>
      <c r="I489" t="n">
        <v>0</v>
      </c>
      <c r="J489" t="n">
        <v>3769</v>
      </c>
      <c r="K489" t="n">
        <v>0</v>
      </c>
      <c r="L489">
        <f>MIN(F489,J489)</f>
        <v/>
      </c>
      <c r="M489">
        <f>MIN(K489,MAX(0,F489-(J489-K489)))</f>
        <v/>
      </c>
    </row>
    <row r="490">
      <c r="A490" t="inlineStr">
        <is>
          <t>CLOUDLINE-DC</t>
        </is>
      </c>
      <c r="B490" t="inlineStr">
        <is>
          <t>2026-09-28</t>
        </is>
      </c>
      <c r="C490" t="n">
        <v>7</v>
      </c>
      <c r="D490" t="n">
        <v>8</v>
      </c>
      <c r="E490" t="n">
        <v>1</v>
      </c>
      <c r="F490" t="n">
        <v>6174</v>
      </c>
      <c r="G490" t="n">
        <v>0</v>
      </c>
      <c r="H490" t="n">
        <v>3738</v>
      </c>
      <c r="I490" t="n">
        <v>0</v>
      </c>
      <c r="J490" t="n">
        <v>3738</v>
      </c>
      <c r="K490" t="n">
        <v>0</v>
      </c>
      <c r="L490">
        <f>MIN(F490,J490)</f>
        <v/>
      </c>
      <c r="M490">
        <f>MIN(K490,MAX(0,F490-(J490-K490)))</f>
        <v/>
      </c>
    </row>
    <row r="491">
      <c r="A491" t="inlineStr">
        <is>
          <t>CLOUDLINE-DC</t>
        </is>
      </c>
      <c r="B491" t="inlineStr">
        <is>
          <t>2026-09-28</t>
        </is>
      </c>
      <c r="C491" t="n">
        <v>7</v>
      </c>
      <c r="D491" t="n">
        <v>9</v>
      </c>
      <c r="E491" t="n">
        <v>1</v>
      </c>
      <c r="F491" t="n">
        <v>5818</v>
      </c>
      <c r="G491" t="n">
        <v>0</v>
      </c>
      <c r="H491" t="n">
        <v>3376</v>
      </c>
      <c r="I491" t="n">
        <v>0</v>
      </c>
      <c r="J491" t="n">
        <v>3376</v>
      </c>
      <c r="K491" t="n">
        <v>0</v>
      </c>
      <c r="L491">
        <f>MIN(F491,J491)</f>
        <v/>
      </c>
      <c r="M491">
        <f>MIN(K491,MAX(0,F491-(J491-K491)))</f>
        <v/>
      </c>
    </row>
    <row r="492">
      <c r="A492" t="inlineStr">
        <is>
          <t>CLOUDLINE-DC</t>
        </is>
      </c>
      <c r="B492" t="inlineStr">
        <is>
          <t>2026-09-28</t>
        </is>
      </c>
      <c r="C492" t="n">
        <v>7</v>
      </c>
      <c r="D492" t="n">
        <v>10</v>
      </c>
      <c r="E492" t="n">
        <v>1</v>
      </c>
      <c r="F492" t="n">
        <v>6055</v>
      </c>
      <c r="G492" t="n">
        <v>0</v>
      </c>
      <c r="H492" t="n">
        <v>3654</v>
      </c>
      <c r="I492" t="n">
        <v>0</v>
      </c>
      <c r="J492" t="n">
        <v>3654</v>
      </c>
      <c r="K492" t="n">
        <v>0</v>
      </c>
      <c r="L492">
        <f>MIN(F492,J492)</f>
        <v/>
      </c>
      <c r="M492">
        <f>MIN(K492,MAX(0,F492-(J492-K492)))</f>
        <v/>
      </c>
    </row>
    <row r="493">
      <c r="A493" t="inlineStr">
        <is>
          <t>CLOUDLINE-DC</t>
        </is>
      </c>
      <c r="B493" t="inlineStr">
        <is>
          <t>2026-09-28</t>
        </is>
      </c>
      <c r="C493" t="n">
        <v>7</v>
      </c>
      <c r="D493" t="n">
        <v>11</v>
      </c>
      <c r="E493" t="n">
        <v>1</v>
      </c>
      <c r="F493" t="n">
        <v>5699</v>
      </c>
      <c r="G493" t="n">
        <v>0</v>
      </c>
      <c r="H493" t="n">
        <v>4114</v>
      </c>
      <c r="I493" t="n">
        <v>0</v>
      </c>
      <c r="J493" t="n">
        <v>4114</v>
      </c>
      <c r="K493" t="n">
        <v>0</v>
      </c>
      <c r="L493">
        <f>MIN(F493,J493)</f>
        <v/>
      </c>
      <c r="M493">
        <f>MIN(K493,MAX(0,F493-(J493-K493)))</f>
        <v/>
      </c>
    </row>
    <row r="494">
      <c r="A494" t="inlineStr">
        <is>
          <t>CLOUDLINE-DC</t>
        </is>
      </c>
      <c r="B494" t="inlineStr">
        <is>
          <t>2026-09-28</t>
        </is>
      </c>
      <c r="C494" t="n">
        <v>7</v>
      </c>
      <c r="D494" t="n">
        <v>12</v>
      </c>
      <c r="E494" t="n">
        <v>1</v>
      </c>
      <c r="F494" t="n">
        <v>5936</v>
      </c>
      <c r="G494" t="n">
        <v>0</v>
      </c>
      <c r="H494" t="n">
        <v>4683</v>
      </c>
      <c r="I494" t="n">
        <v>0</v>
      </c>
      <c r="J494" t="n">
        <v>4683</v>
      </c>
      <c r="K494" t="n">
        <v>0</v>
      </c>
      <c r="L494">
        <f>MIN(F494,J494)</f>
        <v/>
      </c>
      <c r="M494">
        <f>MIN(K494,MAX(0,F494-(J494-K494)))</f>
        <v/>
      </c>
    </row>
    <row r="495">
      <c r="A495" t="inlineStr">
        <is>
          <t>CLOUDLINE-DC</t>
        </is>
      </c>
      <c r="B495" t="inlineStr">
        <is>
          <t>2026-09-28</t>
        </is>
      </c>
      <c r="C495" t="n">
        <v>7</v>
      </c>
      <c r="D495" t="n">
        <v>13</v>
      </c>
      <c r="E495" t="n">
        <v>1</v>
      </c>
      <c r="F495" t="n">
        <v>6174</v>
      </c>
      <c r="G495" t="n">
        <v>0</v>
      </c>
      <c r="H495" t="n">
        <v>4883</v>
      </c>
      <c r="I495" t="n">
        <v>0</v>
      </c>
      <c r="J495" t="n">
        <v>4883</v>
      </c>
      <c r="K495" t="n">
        <v>0</v>
      </c>
      <c r="L495">
        <f>MIN(F495,J495)</f>
        <v/>
      </c>
      <c r="M495">
        <f>MIN(K495,MAX(0,F495-(J495-K495)))</f>
        <v/>
      </c>
    </row>
    <row r="496">
      <c r="A496" t="inlineStr">
        <is>
          <t>CLOUDLINE-DC</t>
        </is>
      </c>
      <c r="B496" t="inlineStr">
        <is>
          <t>2026-09-28</t>
        </is>
      </c>
      <c r="C496" t="n">
        <v>7</v>
      </c>
      <c r="D496" t="n">
        <v>14</v>
      </c>
      <c r="E496" t="n">
        <v>1</v>
      </c>
      <c r="F496" t="n">
        <v>5818</v>
      </c>
      <c r="G496" t="n">
        <v>0</v>
      </c>
      <c r="H496" t="n">
        <v>5994</v>
      </c>
      <c r="I496" t="n">
        <v>0</v>
      </c>
      <c r="J496" t="n">
        <v>5994</v>
      </c>
      <c r="K496" t="n">
        <v>0</v>
      </c>
      <c r="L496">
        <f>MIN(F496,J496)</f>
        <v/>
      </c>
      <c r="M496">
        <f>MIN(K496,MAX(0,F496-(J496-K496)))</f>
        <v/>
      </c>
    </row>
    <row r="497">
      <c r="A497" t="inlineStr">
        <is>
          <t>CLOUDLINE-DC</t>
        </is>
      </c>
      <c r="B497" t="inlineStr">
        <is>
          <t>2026-09-28</t>
        </is>
      </c>
      <c r="C497" t="n">
        <v>7</v>
      </c>
      <c r="D497" t="n">
        <v>15</v>
      </c>
      <c r="E497" t="n">
        <v>1</v>
      </c>
      <c r="F497" t="n">
        <v>6055</v>
      </c>
      <c r="G497" t="n">
        <v>0</v>
      </c>
      <c r="H497" t="n">
        <v>5847</v>
      </c>
      <c r="I497" t="n">
        <v>0</v>
      </c>
      <c r="J497" t="n">
        <v>5847</v>
      </c>
      <c r="K497" t="n">
        <v>0</v>
      </c>
      <c r="L497">
        <f>MIN(F497,J497)</f>
        <v/>
      </c>
      <c r="M497">
        <f>MIN(K497,MAX(0,F497-(J497-K497)))</f>
        <v/>
      </c>
    </row>
    <row r="498">
      <c r="A498" t="inlineStr">
        <is>
          <t>CLOUDLINE-DC</t>
        </is>
      </c>
      <c r="B498" t="inlineStr">
        <is>
          <t>2026-09-28</t>
        </is>
      </c>
      <c r="C498" t="n">
        <v>7</v>
      </c>
      <c r="D498" t="n">
        <v>16</v>
      </c>
      <c r="E498" t="n">
        <v>1</v>
      </c>
      <c r="F498" t="n">
        <v>5699</v>
      </c>
      <c r="G498" t="n">
        <v>0</v>
      </c>
      <c r="H498" t="n">
        <v>4570</v>
      </c>
      <c r="I498" t="n">
        <v>0</v>
      </c>
      <c r="J498" t="n">
        <v>4570</v>
      </c>
      <c r="K498" t="n">
        <v>0</v>
      </c>
      <c r="L498">
        <f>MIN(F498,J498)</f>
        <v/>
      </c>
      <c r="M498">
        <f>MIN(K498,MAX(0,F498-(J498-K498)))</f>
        <v/>
      </c>
    </row>
    <row r="499">
      <c r="A499" t="inlineStr">
        <is>
          <t>CLOUDLINE-DC</t>
        </is>
      </c>
      <c r="B499" t="inlineStr">
        <is>
          <t>2026-09-28</t>
        </is>
      </c>
      <c r="C499" t="n">
        <v>7</v>
      </c>
      <c r="D499" t="n">
        <v>17</v>
      </c>
      <c r="E499" t="n">
        <v>1</v>
      </c>
      <c r="F499" t="n">
        <v>5936</v>
      </c>
      <c r="G499" t="n">
        <v>0</v>
      </c>
      <c r="H499" t="n">
        <v>3898</v>
      </c>
      <c r="I499" t="n">
        <v>0</v>
      </c>
      <c r="J499" t="n">
        <v>3898</v>
      </c>
      <c r="K499" t="n">
        <v>0</v>
      </c>
      <c r="L499">
        <f>MIN(F499,J499)</f>
        <v/>
      </c>
      <c r="M499">
        <f>MIN(K499,MAX(0,F499-(J499-K499)))</f>
        <v/>
      </c>
    </row>
    <row r="500">
      <c r="A500" t="inlineStr">
        <is>
          <t>CLOUDLINE-DC</t>
        </is>
      </c>
      <c r="B500" t="inlineStr">
        <is>
          <t>2026-09-28</t>
        </is>
      </c>
      <c r="C500" t="n">
        <v>7</v>
      </c>
      <c r="D500" t="n">
        <v>18</v>
      </c>
      <c r="E500" t="n">
        <v>1</v>
      </c>
      <c r="F500" t="n">
        <v>6174</v>
      </c>
      <c r="G500" t="n">
        <v>0</v>
      </c>
      <c r="H500" t="n">
        <v>2985</v>
      </c>
      <c r="I500" t="n">
        <v>0</v>
      </c>
      <c r="J500" t="n">
        <v>2985</v>
      </c>
      <c r="K500" t="n">
        <v>0</v>
      </c>
      <c r="L500">
        <f>MIN(F500,J500)</f>
        <v/>
      </c>
      <c r="M500">
        <f>MIN(K500,MAX(0,F500-(J500-K500)))</f>
        <v/>
      </c>
    </row>
    <row r="501">
      <c r="A501" t="inlineStr">
        <is>
          <t>CLOUDLINE-DC</t>
        </is>
      </c>
      <c r="B501" t="inlineStr">
        <is>
          <t>2026-09-28</t>
        </is>
      </c>
      <c r="C501" t="n">
        <v>7</v>
      </c>
      <c r="D501" t="n">
        <v>19</v>
      </c>
      <c r="E501" t="n">
        <v>1</v>
      </c>
      <c r="F501" t="n">
        <v>5818</v>
      </c>
      <c r="G501" t="n">
        <v>0</v>
      </c>
      <c r="H501" t="n">
        <v>2507</v>
      </c>
      <c r="I501" t="n">
        <v>0</v>
      </c>
      <c r="J501" t="n">
        <v>2507</v>
      </c>
      <c r="K501" t="n">
        <v>0</v>
      </c>
      <c r="L501">
        <f>MIN(F501,J501)</f>
        <v/>
      </c>
      <c r="M501">
        <f>MIN(K501,MAX(0,F501-(J501-K501)))</f>
        <v/>
      </c>
    </row>
    <row r="502">
      <c r="A502" t="inlineStr">
        <is>
          <t>CLOUDLINE-DC</t>
        </is>
      </c>
      <c r="B502" t="inlineStr">
        <is>
          <t>2026-09-28</t>
        </is>
      </c>
      <c r="C502" t="n">
        <v>7</v>
      </c>
      <c r="D502" t="n">
        <v>20</v>
      </c>
      <c r="E502" t="n">
        <v>1</v>
      </c>
      <c r="F502" t="n">
        <v>6055</v>
      </c>
      <c r="G502" t="n">
        <v>0</v>
      </c>
      <c r="H502" t="n">
        <v>2289</v>
      </c>
      <c r="I502" t="n">
        <v>0</v>
      </c>
      <c r="J502" t="n">
        <v>2289</v>
      </c>
      <c r="K502" t="n">
        <v>0</v>
      </c>
      <c r="L502">
        <f>MIN(F502,J502)</f>
        <v/>
      </c>
      <c r="M502">
        <f>MIN(K502,MAX(0,F502-(J502-K502)))</f>
        <v/>
      </c>
    </row>
    <row r="503">
      <c r="A503" t="inlineStr">
        <is>
          <t>CLOUDLINE-DC</t>
        </is>
      </c>
      <c r="B503" t="inlineStr">
        <is>
          <t>2026-09-28</t>
        </is>
      </c>
      <c r="C503" t="n">
        <v>7</v>
      </c>
      <c r="D503" t="n">
        <v>21</v>
      </c>
      <c r="E503" t="n">
        <v>1</v>
      </c>
      <c r="F503" t="n">
        <v>5699</v>
      </c>
      <c r="G503" t="n">
        <v>0</v>
      </c>
      <c r="H503" t="n">
        <v>2696</v>
      </c>
      <c r="I503" t="n">
        <v>0</v>
      </c>
      <c r="J503" t="n">
        <v>2696</v>
      </c>
      <c r="K503" t="n">
        <v>0</v>
      </c>
      <c r="L503">
        <f>MIN(F503,J503)</f>
        <v/>
      </c>
      <c r="M503">
        <f>MIN(K503,MAX(0,F503-(J503-K503)))</f>
        <v/>
      </c>
    </row>
    <row r="504">
      <c r="A504" t="inlineStr">
        <is>
          <t>CLOUDLINE-DC</t>
        </is>
      </c>
      <c r="B504" t="inlineStr">
        <is>
          <t>2026-09-28</t>
        </is>
      </c>
      <c r="C504" t="n">
        <v>7</v>
      </c>
      <c r="D504" t="n">
        <v>22</v>
      </c>
      <c r="E504" t="n">
        <v>1</v>
      </c>
      <c r="F504" t="n">
        <v>5936</v>
      </c>
      <c r="G504" t="n">
        <v>0</v>
      </c>
      <c r="H504" t="n">
        <v>2880</v>
      </c>
      <c r="I504" t="n">
        <v>0</v>
      </c>
      <c r="J504" t="n">
        <v>2880</v>
      </c>
      <c r="K504" t="n">
        <v>0</v>
      </c>
      <c r="L504">
        <f>MIN(F504,J504)</f>
        <v/>
      </c>
      <c r="M504">
        <f>MIN(K504,MAX(0,F504-(J504-K504)))</f>
        <v/>
      </c>
    </row>
    <row r="505">
      <c r="A505" t="inlineStr">
        <is>
          <t>CLOUDLINE-DC</t>
        </is>
      </c>
      <c r="B505" t="inlineStr">
        <is>
          <t>2026-09-28</t>
        </is>
      </c>
      <c r="C505" t="n">
        <v>7</v>
      </c>
      <c r="D505" t="n">
        <v>23</v>
      </c>
      <c r="E505" t="n">
        <v>1</v>
      </c>
      <c r="F505" t="n">
        <v>6174</v>
      </c>
      <c r="G505" t="n">
        <v>0</v>
      </c>
      <c r="H505" t="n">
        <v>2471</v>
      </c>
      <c r="I505" t="n">
        <v>0</v>
      </c>
      <c r="J505" t="n">
        <v>2471</v>
      </c>
      <c r="K505" t="n">
        <v>0</v>
      </c>
      <c r="L505">
        <f>MIN(F505,J505)</f>
        <v/>
      </c>
      <c r="M505">
        <f>MIN(K505,MAX(0,F505-(J505-K505)))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company</t>
        </is>
      </c>
      <c r="D1" s="1" t="inlineStr">
        <is>
          <t>day_from</t>
        </is>
      </c>
      <c r="E1" s="1" t="inlineStr">
        <is>
          <t>day_to</t>
        </is>
      </c>
      <c r="F1" s="1" t="inlineStr">
        <is>
          <t>hour_from</t>
        </is>
      </c>
      <c r="G1" s="1" t="inlineStr">
        <is>
          <t>hour_to</t>
        </is>
      </c>
      <c r="H1" s="1" t="inlineStr">
        <is>
          <t>weekdays_only</t>
        </is>
      </c>
      <c r="I1" s="1" t="inlineStr">
        <is>
          <t>claimed_pct</t>
        </is>
      </c>
      <c r="J1" s="1" t="inlineStr">
        <is>
          <t>basis</t>
        </is>
      </c>
      <c r="K1" s="1" t="inlineStr">
        <is>
          <t>re100</t>
        </is>
      </c>
      <c r="L1" s="1" t="inlineStr">
        <is>
          <t>truth</t>
        </is>
      </c>
      <c r="M1" s="1" t="inlineStr">
        <is>
          <t>use_kwh</t>
        </is>
      </c>
      <c r="N1" s="1" t="inlineStr">
        <is>
          <t>matched_kwh</t>
        </is>
      </c>
      <c r="O1" s="1" t="inlineStr">
        <is>
          <t>certs_kwh</t>
        </is>
      </c>
      <c r="P1" s="1" t="inlineStr">
        <is>
          <t>old_matched_kwh</t>
        </is>
      </c>
      <c r="Q1" s="1" t="inlineStr">
        <is>
          <t>old_certs_kwh</t>
        </is>
      </c>
      <c r="R1" s="1" t="inlineStr">
        <is>
          <t>hourly_bps</t>
        </is>
      </c>
      <c r="S1" s="1" t="inlineStr">
        <is>
          <t>volume_bps</t>
        </is>
      </c>
      <c r="T1" s="1" t="inlineStr">
        <is>
          <t>share_bps</t>
        </is>
      </c>
      <c r="U1" s="1" t="inlineStr">
        <is>
          <t>verdict</t>
        </is>
      </c>
      <c r="V1" s="1" t="inlineStr">
        <is>
          <t>agrees_with_truth</t>
        </is>
      </c>
    </row>
    <row r="2">
      <c r="A2" t="inlineStr">
        <is>
          <t>H01</t>
        </is>
      </c>
      <c r="B2" t="inlineStr">
        <is>
          <t>Northbay Fab: 100% green electricity for the whole week.</t>
        </is>
      </c>
      <c r="C2" t="inlineStr">
        <is>
          <t>NORTHBAY-FAB</t>
        </is>
      </c>
      <c r="D2" t="n">
        <v>1</v>
      </c>
      <c r="E2" t="n">
        <v>7</v>
      </c>
      <c r="F2" t="n">
        <v>0</v>
      </c>
      <c r="G2" t="n">
        <v>24</v>
      </c>
      <c r="H2" t="n">
        <v>0</v>
      </c>
      <c r="I2" t="n">
        <v>100</v>
      </c>
      <c r="J2" t="inlineStr">
        <is>
          <t>hourly</t>
        </is>
      </c>
      <c r="K2" t="n">
        <v>0</v>
      </c>
      <c r="L2" t="inlineStr">
        <is>
          <t>NOT_SUPPORTED</t>
        </is>
      </c>
      <c r="M2">
        <f>SUMPRODUCT((data_holdout!$A$2:$A$505=$C2)*(data_holdout!$C$2:$C$505&gt;=$D2)*(data_holdout!$C$2:$C$505&lt;=$E2)*(data_holdout!$D$2:$D$505&gt;=$F2)*(data_holdout!$D$2:$D$505&lt;$G2)*((($H2=0)+(data_holdout!$E$2:$E$505&lt;=5))&gt;0)*data_holdout!$F$2:$F$505)</f>
        <v/>
      </c>
      <c r="N2">
        <f>SUMPRODUCT((data_holdout!$A$2:$A$505=$C2)*(data_holdout!$C$2:$C$505&gt;=$D2)*(data_holdout!$C$2:$C$505&lt;=$E2)*(data_holdout!$D$2:$D$505&gt;=$F2)*(data_holdout!$D$2:$D$505&lt;$G2)*((($H2=0)+(data_holdout!$E$2:$E$505&lt;=5))&gt;0)*data_holdout!$L$2:$L$505)</f>
        <v/>
      </c>
      <c r="O2">
        <f>SUMPRODUCT((data_holdout!$A$2:$A$505=$C2)*(data_holdout!$C$2:$C$505&gt;=$D2)*(data_holdout!$C$2:$C$505&lt;=$E2)*(data_holdout!$D$2:$D$505&gt;=$F2)*(data_holdout!$D$2:$D$505&lt;$G2)*((($H2=0)+(data_holdout!$E$2:$E$505&lt;=5))&gt;0)*data_holdout!$J$2:$J$505)</f>
        <v/>
      </c>
      <c r="P2">
        <f>SUMPRODUCT((data_holdout!$A$2:$A$505=$C2)*(data_holdout!$C$2:$C$505&gt;=$D2)*(data_holdout!$C$2:$C$505&lt;=$E2)*(data_holdout!$D$2:$D$505&gt;=$F2)*(data_holdout!$D$2:$D$505&lt;$G2)*((($H2=0)+(data_holdout!$E$2:$E$505&lt;=5))&gt;0)*data_holdout!$M$2:$M$505)</f>
        <v/>
      </c>
      <c r="Q2">
        <f>SUMPRODUCT((data_holdout!$A$2:$A$505=$C2)*(data_holdout!$C$2:$C$505&gt;=$D2)*(data_holdout!$C$2:$C$505&lt;=$E2)*(data_holdout!$D$2:$D$505&gt;=$F2)*(data_holdout!$D$2:$D$505&lt;$G2)*((($H2=0)+(data_holdout!$E$2:$E$505&lt;=5))&gt;0)*data_holdout!$K$2:$K$505)</f>
        <v/>
      </c>
      <c r="R2">
        <f>INT(N2*10000/M2)</f>
        <v/>
      </c>
      <c r="S2">
        <f>INT(O2*10000/M2)</f>
        <v/>
      </c>
      <c r="T2">
        <f>IF(K2=1,IF(J2="volume",INT((O2-MAX(0,Q2-INT(M2*0.15)))*10000/M2),INT((N2-MAX(0,P2-INT(M2*0.15)))*10000/M2)),IF(J2="volume",S2,R2))</f>
        <v/>
      </c>
      <c r="U2">
        <f>IF(AND(ROUND(I2*100,0)&lt;=IF(J2="volume",S2,R2)+50,ROUND(I2*100,0)&lt;=T2+50),"SUPPORTED","NOT_SUPPORTED")</f>
        <v/>
      </c>
      <c r="V2">
        <f>U2=L2</f>
        <v/>
      </c>
    </row>
    <row r="3">
      <c r="A3" t="inlineStr">
        <is>
          <t>H02</t>
        </is>
      </c>
      <c r="B3" t="inlineStr">
        <is>
          <t>Northbay Fab's renewable certificate purchases this week totaled 100% of what the plant consumed.</t>
        </is>
      </c>
      <c r="C3" t="inlineStr">
        <is>
          <t>NORTHBAY-FAB</t>
        </is>
      </c>
      <c r="D3" t="n">
        <v>1</v>
      </c>
      <c r="E3" t="n">
        <v>7</v>
      </c>
      <c r="F3" t="n">
        <v>0</v>
      </c>
      <c r="G3" t="n">
        <v>24</v>
      </c>
      <c r="H3" t="n">
        <v>0</v>
      </c>
      <c r="I3" t="n">
        <v>100</v>
      </c>
      <c r="J3" t="inlineStr">
        <is>
          <t>volume</t>
        </is>
      </c>
      <c r="K3" t="n">
        <v>0</v>
      </c>
      <c r="L3" t="inlineStr">
        <is>
          <t>SUPPORTED</t>
        </is>
      </c>
      <c r="M3">
        <f>SUMPRODUCT((data_holdout!$A$2:$A$505=$C3)*(data_holdout!$C$2:$C$505&gt;=$D3)*(data_holdout!$C$2:$C$505&lt;=$E3)*(data_holdout!$D$2:$D$505&gt;=$F3)*(data_holdout!$D$2:$D$505&lt;$G3)*((($H3=0)+(data_holdout!$E$2:$E$505&lt;=5))&gt;0)*data_holdout!$F$2:$F$505)</f>
        <v/>
      </c>
      <c r="N3">
        <f>SUMPRODUCT((data_holdout!$A$2:$A$505=$C3)*(data_holdout!$C$2:$C$505&gt;=$D3)*(data_holdout!$C$2:$C$505&lt;=$E3)*(data_holdout!$D$2:$D$505&gt;=$F3)*(data_holdout!$D$2:$D$505&lt;$G3)*((($H3=0)+(data_holdout!$E$2:$E$505&lt;=5))&gt;0)*data_holdout!$L$2:$L$505)</f>
        <v/>
      </c>
      <c r="O3">
        <f>SUMPRODUCT((data_holdout!$A$2:$A$505=$C3)*(data_holdout!$C$2:$C$505&gt;=$D3)*(data_holdout!$C$2:$C$505&lt;=$E3)*(data_holdout!$D$2:$D$505&gt;=$F3)*(data_holdout!$D$2:$D$505&lt;$G3)*((($H3=0)+(data_holdout!$E$2:$E$505&lt;=5))&gt;0)*data_holdout!$J$2:$J$505)</f>
        <v/>
      </c>
      <c r="P3">
        <f>SUMPRODUCT((data_holdout!$A$2:$A$505=$C3)*(data_holdout!$C$2:$C$505&gt;=$D3)*(data_holdout!$C$2:$C$505&lt;=$E3)*(data_holdout!$D$2:$D$505&gt;=$F3)*(data_holdout!$D$2:$D$505&lt;$G3)*((($H3=0)+(data_holdout!$E$2:$E$505&lt;=5))&gt;0)*data_holdout!$M$2:$M$505)</f>
        <v/>
      </c>
      <c r="Q3">
        <f>SUMPRODUCT((data_holdout!$A$2:$A$505=$C3)*(data_holdout!$C$2:$C$505&gt;=$D3)*(data_holdout!$C$2:$C$505&lt;=$E3)*(data_holdout!$D$2:$D$505&gt;=$F3)*(data_holdout!$D$2:$D$505&lt;$G3)*((($H3=0)+(data_holdout!$E$2:$E$505&lt;=5))&gt;0)*data_holdout!$K$2:$K$505)</f>
        <v/>
      </c>
      <c r="R3">
        <f>INT(N3*10000/M3)</f>
        <v/>
      </c>
      <c r="S3">
        <f>INT(O3*10000/M3)</f>
        <v/>
      </c>
      <c r="T3">
        <f>IF(K3=1,IF(J3="volume",INT((O3-MAX(0,Q3-INT(M3*0.15)))*10000/M3),INT((N3-MAX(0,P3-INT(M3*0.15)))*10000/M3)),IF(J3="volume",S3,R3))</f>
        <v/>
      </c>
      <c r="U3">
        <f>IF(AND(ROUND(I3*100,0)&lt;=IF(J3="volume",S3,R3)+50,ROUND(I3*100,0)&lt;=T3+50),"SUPPORTED","NOT_SUPPORTED")</f>
        <v/>
      </c>
      <c r="V3">
        <f>U3=L3</f>
        <v/>
      </c>
    </row>
    <row r="4">
      <c r="A4" t="inlineStr">
        <is>
          <t>H03</t>
        </is>
      </c>
      <c r="B4" t="inlineStr">
        <is>
          <t>Cloudline Data Center ran on renewable power every single hour on 2026-09-23.</t>
        </is>
      </c>
      <c r="C4" t="inlineStr">
        <is>
          <t>CLOUDLINE-DC</t>
        </is>
      </c>
      <c r="D4" t="n">
        <v>2</v>
      </c>
      <c r="E4" t="n">
        <v>2</v>
      </c>
      <c r="F4" t="n">
        <v>0</v>
      </c>
      <c r="G4" t="n">
        <v>24</v>
      </c>
      <c r="H4" t="n">
        <v>0</v>
      </c>
      <c r="I4" t="n">
        <v>100</v>
      </c>
      <c r="J4" t="inlineStr">
        <is>
          <t>hourly</t>
        </is>
      </c>
      <c r="K4" t="n">
        <v>0</v>
      </c>
      <c r="L4" t="inlineStr">
        <is>
          <t>SUPPORTED</t>
        </is>
      </c>
      <c r="M4">
        <f>SUMPRODUCT((data_holdout!$A$2:$A$505=$C4)*(data_holdout!$C$2:$C$505&gt;=$D4)*(data_holdout!$C$2:$C$505&lt;=$E4)*(data_holdout!$D$2:$D$505&gt;=$F4)*(data_holdout!$D$2:$D$505&lt;$G4)*((($H4=0)+(data_holdout!$E$2:$E$505&lt;=5))&gt;0)*data_holdout!$F$2:$F$505)</f>
        <v/>
      </c>
      <c r="N4">
        <f>SUMPRODUCT((data_holdout!$A$2:$A$505=$C4)*(data_holdout!$C$2:$C$505&gt;=$D4)*(data_holdout!$C$2:$C$505&lt;=$E4)*(data_holdout!$D$2:$D$505&gt;=$F4)*(data_holdout!$D$2:$D$505&lt;$G4)*((($H4=0)+(data_holdout!$E$2:$E$505&lt;=5))&gt;0)*data_holdout!$L$2:$L$505)</f>
        <v/>
      </c>
      <c r="O4">
        <f>SUMPRODUCT((data_holdout!$A$2:$A$505=$C4)*(data_holdout!$C$2:$C$505&gt;=$D4)*(data_holdout!$C$2:$C$505&lt;=$E4)*(data_holdout!$D$2:$D$505&gt;=$F4)*(data_holdout!$D$2:$D$505&lt;$G4)*((($H4=0)+(data_holdout!$E$2:$E$505&lt;=5))&gt;0)*data_holdout!$J$2:$J$505)</f>
        <v/>
      </c>
      <c r="P4">
        <f>SUMPRODUCT((data_holdout!$A$2:$A$505=$C4)*(data_holdout!$C$2:$C$505&gt;=$D4)*(data_holdout!$C$2:$C$505&lt;=$E4)*(data_holdout!$D$2:$D$505&gt;=$F4)*(data_holdout!$D$2:$D$505&lt;$G4)*((($H4=0)+(data_holdout!$E$2:$E$505&lt;=5))&gt;0)*data_holdout!$M$2:$M$505)</f>
        <v/>
      </c>
      <c r="Q4">
        <f>SUMPRODUCT((data_holdout!$A$2:$A$505=$C4)*(data_holdout!$C$2:$C$505&gt;=$D4)*(data_holdout!$C$2:$C$505&lt;=$E4)*(data_holdout!$D$2:$D$505&gt;=$F4)*(data_holdout!$D$2:$D$505&lt;$G4)*((($H4=0)+(data_holdout!$E$2:$E$505&lt;=5))&gt;0)*data_holdout!$K$2:$K$505)</f>
        <v/>
      </c>
      <c r="R4">
        <f>INT(N4*10000/M4)</f>
        <v/>
      </c>
      <c r="S4">
        <f>INT(O4*10000/M4)</f>
        <v/>
      </c>
      <c r="T4">
        <f>IF(K4=1,IF(J4="volume",INT((O4-MAX(0,Q4-INT(M4*0.15)))*10000/M4),INT((N4-MAX(0,P4-INT(M4*0.15)))*10000/M4)),IF(J4="volume",S4,R4))</f>
        <v/>
      </c>
      <c r="U4">
        <f>IF(AND(ROUND(I4*100,0)&lt;=IF(J4="volume",S4,R4)+50,ROUND(I4*100,0)&lt;=T4+50),"SUPPORTED","NOT_SUPPORTED")</f>
        <v/>
      </c>
      <c r="V4">
        <f>U4=L4</f>
        <v/>
      </c>
    </row>
    <row r="5">
      <c r="A5" t="inlineStr">
        <is>
          <t>H04</t>
        </is>
      </c>
      <c r="B5" t="inlineStr">
        <is>
          <t>All of Harbor Office's weekday office-hours electricity this week came from renewables.</t>
        </is>
      </c>
      <c r="C5" t="inlineStr">
        <is>
          <t>HARBOR-OFFICE</t>
        </is>
      </c>
      <c r="D5" t="n">
        <v>1</v>
      </c>
      <c r="E5" t="n">
        <v>7</v>
      </c>
      <c r="F5" t="n">
        <v>8</v>
      </c>
      <c r="G5" t="n">
        <v>19</v>
      </c>
      <c r="H5" t="n">
        <v>1</v>
      </c>
      <c r="I5" t="n">
        <v>100</v>
      </c>
      <c r="J5" t="inlineStr">
        <is>
          <t>hourly</t>
        </is>
      </c>
      <c r="K5" t="n">
        <v>0</v>
      </c>
      <c r="L5" t="inlineStr">
        <is>
          <t>NOT_SUPPORTED</t>
        </is>
      </c>
      <c r="M5">
        <f>SUMPRODUCT((data_holdout!$A$2:$A$505=$C5)*(data_holdout!$C$2:$C$505&gt;=$D5)*(data_holdout!$C$2:$C$505&lt;=$E5)*(data_holdout!$D$2:$D$505&gt;=$F5)*(data_holdout!$D$2:$D$505&lt;$G5)*((($H5=0)+(data_holdout!$E$2:$E$505&lt;=5))&gt;0)*data_holdout!$F$2:$F$505)</f>
        <v/>
      </c>
      <c r="N5">
        <f>SUMPRODUCT((data_holdout!$A$2:$A$505=$C5)*(data_holdout!$C$2:$C$505&gt;=$D5)*(data_holdout!$C$2:$C$505&lt;=$E5)*(data_holdout!$D$2:$D$505&gt;=$F5)*(data_holdout!$D$2:$D$505&lt;$G5)*((($H5=0)+(data_holdout!$E$2:$E$505&lt;=5))&gt;0)*data_holdout!$L$2:$L$505)</f>
        <v/>
      </c>
      <c r="O5">
        <f>SUMPRODUCT((data_holdout!$A$2:$A$505=$C5)*(data_holdout!$C$2:$C$505&gt;=$D5)*(data_holdout!$C$2:$C$505&lt;=$E5)*(data_holdout!$D$2:$D$505&gt;=$F5)*(data_holdout!$D$2:$D$505&lt;$G5)*((($H5=0)+(data_holdout!$E$2:$E$505&lt;=5))&gt;0)*data_holdout!$J$2:$J$505)</f>
        <v/>
      </c>
      <c r="P5">
        <f>SUMPRODUCT((data_holdout!$A$2:$A$505=$C5)*(data_holdout!$C$2:$C$505&gt;=$D5)*(data_holdout!$C$2:$C$505&lt;=$E5)*(data_holdout!$D$2:$D$505&gt;=$F5)*(data_holdout!$D$2:$D$505&lt;$G5)*((($H5=0)+(data_holdout!$E$2:$E$505&lt;=5))&gt;0)*data_holdout!$M$2:$M$505)</f>
        <v/>
      </c>
      <c r="Q5">
        <f>SUMPRODUCT((data_holdout!$A$2:$A$505=$C5)*(data_holdout!$C$2:$C$505&gt;=$D5)*(data_holdout!$C$2:$C$505&lt;=$E5)*(data_holdout!$D$2:$D$505&gt;=$F5)*(data_holdout!$D$2:$D$505&lt;$G5)*((($H5=0)+(data_holdout!$E$2:$E$505&lt;=5))&gt;0)*data_holdout!$K$2:$K$505)</f>
        <v/>
      </c>
      <c r="R5">
        <f>INT(N5*10000/M5)</f>
        <v/>
      </c>
      <c r="S5">
        <f>INT(O5*10000/M5)</f>
        <v/>
      </c>
      <c r="T5">
        <f>IF(K5=1,IF(J5="volume",INT((O5-MAX(0,Q5-INT(M5*0.15)))*10000/M5),INT((N5-MAX(0,P5-INT(M5*0.15)))*10000/M5)),IF(J5="volume",S5,R5))</f>
        <v/>
      </c>
      <c r="U5">
        <f>IF(AND(ROUND(I5*100,0)&lt;=IF(J5="volume",S5,R5)+50,ROUND(I5*100,0)&lt;=T5+50),"SUPPORTED","NOT_SUPPORTED")</f>
        <v/>
      </c>
      <c r="V5">
        <f>U5=L5</f>
        <v/>
      </c>
    </row>
    <row r="6">
      <c r="A6" t="inlineStr">
        <is>
          <t>H05</t>
        </is>
      </c>
      <c r="B6" t="inlineStr">
        <is>
          <t>Harbor Office meets RE100 this week: certificates it bought cover 100% of its consumption.</t>
        </is>
      </c>
      <c r="C6" t="inlineStr">
        <is>
          <t>HARBOR-OFFICE</t>
        </is>
      </c>
      <c r="D6" t="n">
        <v>1</v>
      </c>
      <c r="E6" t="n">
        <v>7</v>
      </c>
      <c r="F6" t="n">
        <v>0</v>
      </c>
      <c r="G6" t="n">
        <v>24</v>
      </c>
      <c r="H6" t="n">
        <v>0</v>
      </c>
      <c r="I6" t="n">
        <v>100</v>
      </c>
      <c r="J6" t="inlineStr">
        <is>
          <t>volume</t>
        </is>
      </c>
      <c r="K6" t="n">
        <v>1</v>
      </c>
      <c r="L6" t="inlineStr">
        <is>
          <t>NOT_SUPPORTED</t>
        </is>
      </c>
      <c r="M6">
        <f>SUMPRODUCT((data_holdout!$A$2:$A$505=$C6)*(data_holdout!$C$2:$C$505&gt;=$D6)*(data_holdout!$C$2:$C$505&lt;=$E6)*(data_holdout!$D$2:$D$505&gt;=$F6)*(data_holdout!$D$2:$D$505&lt;$G6)*((($H6=0)+(data_holdout!$E$2:$E$505&lt;=5))&gt;0)*data_holdout!$F$2:$F$505)</f>
        <v/>
      </c>
      <c r="N6">
        <f>SUMPRODUCT((data_holdout!$A$2:$A$505=$C6)*(data_holdout!$C$2:$C$505&gt;=$D6)*(data_holdout!$C$2:$C$505&lt;=$E6)*(data_holdout!$D$2:$D$505&gt;=$F6)*(data_holdout!$D$2:$D$505&lt;$G6)*((($H6=0)+(data_holdout!$E$2:$E$505&lt;=5))&gt;0)*data_holdout!$L$2:$L$505)</f>
        <v/>
      </c>
      <c r="O6">
        <f>SUMPRODUCT((data_holdout!$A$2:$A$505=$C6)*(data_holdout!$C$2:$C$505&gt;=$D6)*(data_holdout!$C$2:$C$505&lt;=$E6)*(data_holdout!$D$2:$D$505&gt;=$F6)*(data_holdout!$D$2:$D$505&lt;$G6)*((($H6=0)+(data_holdout!$E$2:$E$505&lt;=5))&gt;0)*data_holdout!$J$2:$J$505)</f>
        <v/>
      </c>
      <c r="P6">
        <f>SUMPRODUCT((data_holdout!$A$2:$A$505=$C6)*(data_holdout!$C$2:$C$505&gt;=$D6)*(data_holdout!$C$2:$C$505&lt;=$E6)*(data_holdout!$D$2:$D$505&gt;=$F6)*(data_holdout!$D$2:$D$505&lt;$G6)*((($H6=0)+(data_holdout!$E$2:$E$505&lt;=5))&gt;0)*data_holdout!$M$2:$M$505)</f>
        <v/>
      </c>
      <c r="Q6">
        <f>SUMPRODUCT((data_holdout!$A$2:$A$505=$C6)*(data_holdout!$C$2:$C$505&gt;=$D6)*(data_holdout!$C$2:$C$505&lt;=$E6)*(data_holdout!$D$2:$D$505&gt;=$F6)*(data_holdout!$D$2:$D$505&lt;$G6)*((($H6=0)+(data_holdout!$E$2:$E$505&lt;=5))&gt;0)*data_holdout!$K$2:$K$505)</f>
        <v/>
      </c>
      <c r="R6">
        <f>INT(N6*10000/M6)</f>
        <v/>
      </c>
      <c r="S6">
        <f>INT(O6*10000/M6)</f>
        <v/>
      </c>
      <c r="T6">
        <f>IF(K6=1,IF(J6="volume",INT((O6-MAX(0,Q6-INT(M6*0.15)))*10000/M6),INT((N6-MAX(0,P6-INT(M6*0.15)))*10000/M6)),IF(J6="volume",S6,R6))</f>
        <v/>
      </c>
      <c r="U6">
        <f>IF(AND(ROUND(I6*100,0)&lt;=IF(J6="volume",S6,R6)+50,ROUND(I6*100,0)&lt;=T6+50),"SUPPORTED","NOT_SUPPORTED")</f>
        <v/>
      </c>
      <c r="V6">
        <f>U6=L6</f>
        <v/>
      </c>
    </row>
    <row r="7">
      <c r="A7" t="inlineStr">
        <is>
          <t>H06</t>
        </is>
      </c>
      <c r="B7" t="inlineStr">
        <is>
          <t>From 2026-09-22 to 2026-09-24, Northbay Fab matched 86% of its electricity hour by hour.</t>
        </is>
      </c>
      <c r="C7" t="inlineStr">
        <is>
          <t>NORTHBAY-FAB</t>
        </is>
      </c>
      <c r="D7" t="n">
        <v>1</v>
      </c>
      <c r="E7" t="n">
        <v>3</v>
      </c>
      <c r="F7" t="n">
        <v>0</v>
      </c>
      <c r="G7" t="n">
        <v>24</v>
      </c>
      <c r="H7" t="n">
        <v>0</v>
      </c>
      <c r="I7" t="n">
        <v>86</v>
      </c>
      <c r="J7" t="inlineStr">
        <is>
          <t>hourly</t>
        </is>
      </c>
      <c r="K7" t="n">
        <v>0</v>
      </c>
      <c r="L7" t="inlineStr">
        <is>
          <t>SUPPORTED</t>
        </is>
      </c>
      <c r="M7">
        <f>SUMPRODUCT((data_holdout!$A$2:$A$505=$C7)*(data_holdout!$C$2:$C$505&gt;=$D7)*(data_holdout!$C$2:$C$505&lt;=$E7)*(data_holdout!$D$2:$D$505&gt;=$F7)*(data_holdout!$D$2:$D$505&lt;$G7)*((($H7=0)+(data_holdout!$E$2:$E$505&lt;=5))&gt;0)*data_holdout!$F$2:$F$505)</f>
        <v/>
      </c>
      <c r="N7">
        <f>SUMPRODUCT((data_holdout!$A$2:$A$505=$C7)*(data_holdout!$C$2:$C$505&gt;=$D7)*(data_holdout!$C$2:$C$505&lt;=$E7)*(data_holdout!$D$2:$D$505&gt;=$F7)*(data_holdout!$D$2:$D$505&lt;$G7)*((($H7=0)+(data_holdout!$E$2:$E$505&lt;=5))&gt;0)*data_holdout!$L$2:$L$505)</f>
        <v/>
      </c>
      <c r="O7">
        <f>SUMPRODUCT((data_holdout!$A$2:$A$505=$C7)*(data_holdout!$C$2:$C$505&gt;=$D7)*(data_holdout!$C$2:$C$505&lt;=$E7)*(data_holdout!$D$2:$D$505&gt;=$F7)*(data_holdout!$D$2:$D$505&lt;$G7)*((($H7=0)+(data_holdout!$E$2:$E$505&lt;=5))&gt;0)*data_holdout!$J$2:$J$505)</f>
        <v/>
      </c>
      <c r="P7">
        <f>SUMPRODUCT((data_holdout!$A$2:$A$505=$C7)*(data_holdout!$C$2:$C$505&gt;=$D7)*(data_holdout!$C$2:$C$505&lt;=$E7)*(data_holdout!$D$2:$D$505&gt;=$F7)*(data_holdout!$D$2:$D$505&lt;$G7)*((($H7=0)+(data_holdout!$E$2:$E$505&lt;=5))&gt;0)*data_holdout!$M$2:$M$505)</f>
        <v/>
      </c>
      <c r="Q7">
        <f>SUMPRODUCT((data_holdout!$A$2:$A$505=$C7)*(data_holdout!$C$2:$C$505&gt;=$D7)*(data_holdout!$C$2:$C$505&lt;=$E7)*(data_holdout!$D$2:$D$505&gt;=$F7)*(data_holdout!$D$2:$D$505&lt;$G7)*((($H7=0)+(data_holdout!$E$2:$E$505&lt;=5))&gt;0)*data_holdout!$K$2:$K$505)</f>
        <v/>
      </c>
      <c r="R7">
        <f>INT(N7*10000/M7)</f>
        <v/>
      </c>
      <c r="S7">
        <f>INT(O7*10000/M7)</f>
        <v/>
      </c>
      <c r="T7">
        <f>IF(K7=1,IF(J7="volume",INT((O7-MAX(0,Q7-INT(M7*0.15)))*10000/M7),INT((N7-MAX(0,P7-INT(M7*0.15)))*10000/M7)),IF(J7="volume",S7,R7))</f>
        <v/>
      </c>
      <c r="U7">
        <f>IF(AND(ROUND(I7*100,0)&lt;=IF(J7="volume",S7,R7)+50,ROUND(I7*100,0)&lt;=T7+50),"SUPPORTED","NOT_SUPPORTED")</f>
        <v/>
      </c>
      <c r="V7">
        <f>U7=L7</f>
        <v/>
      </c>
    </row>
    <row r="8">
      <c r="A8" t="inlineStr">
        <is>
          <t>H07</t>
        </is>
      </c>
      <c r="B8" t="inlineStr">
        <is>
          <t>On 2026-09-26, Northbay Fab matched 48% of its electricity hour by hour.</t>
        </is>
      </c>
      <c r="C8" t="inlineStr">
        <is>
          <t>NORTHBAY-FAB</t>
        </is>
      </c>
      <c r="D8" t="n">
        <v>5</v>
      </c>
      <c r="E8" t="n">
        <v>5</v>
      </c>
      <c r="F8" t="n">
        <v>0</v>
      </c>
      <c r="G8" t="n">
        <v>24</v>
      </c>
      <c r="H8" t="n">
        <v>0</v>
      </c>
      <c r="I8" t="n">
        <v>48</v>
      </c>
      <c r="J8" t="inlineStr">
        <is>
          <t>hourly</t>
        </is>
      </c>
      <c r="K8" t="n">
        <v>0</v>
      </c>
      <c r="L8" t="inlineStr">
        <is>
          <t>NOT_SUPPORTED</t>
        </is>
      </c>
      <c r="M8">
        <f>SUMPRODUCT((data_holdout!$A$2:$A$505=$C8)*(data_holdout!$C$2:$C$505&gt;=$D8)*(data_holdout!$C$2:$C$505&lt;=$E8)*(data_holdout!$D$2:$D$505&gt;=$F8)*(data_holdout!$D$2:$D$505&lt;$G8)*((($H8=0)+(data_holdout!$E$2:$E$505&lt;=5))&gt;0)*data_holdout!$F$2:$F$505)</f>
        <v/>
      </c>
      <c r="N8">
        <f>SUMPRODUCT((data_holdout!$A$2:$A$505=$C8)*(data_holdout!$C$2:$C$505&gt;=$D8)*(data_holdout!$C$2:$C$505&lt;=$E8)*(data_holdout!$D$2:$D$505&gt;=$F8)*(data_holdout!$D$2:$D$505&lt;$G8)*((($H8=0)+(data_holdout!$E$2:$E$505&lt;=5))&gt;0)*data_holdout!$L$2:$L$505)</f>
        <v/>
      </c>
      <c r="O8">
        <f>SUMPRODUCT((data_holdout!$A$2:$A$505=$C8)*(data_holdout!$C$2:$C$505&gt;=$D8)*(data_holdout!$C$2:$C$505&lt;=$E8)*(data_holdout!$D$2:$D$505&gt;=$F8)*(data_holdout!$D$2:$D$505&lt;$G8)*((($H8=0)+(data_holdout!$E$2:$E$505&lt;=5))&gt;0)*data_holdout!$J$2:$J$505)</f>
        <v/>
      </c>
      <c r="P8">
        <f>SUMPRODUCT((data_holdout!$A$2:$A$505=$C8)*(data_holdout!$C$2:$C$505&gt;=$D8)*(data_holdout!$C$2:$C$505&lt;=$E8)*(data_holdout!$D$2:$D$505&gt;=$F8)*(data_holdout!$D$2:$D$505&lt;$G8)*((($H8=0)+(data_holdout!$E$2:$E$505&lt;=5))&gt;0)*data_holdout!$M$2:$M$505)</f>
        <v/>
      </c>
      <c r="Q8">
        <f>SUMPRODUCT((data_holdout!$A$2:$A$505=$C8)*(data_holdout!$C$2:$C$505&gt;=$D8)*(data_holdout!$C$2:$C$505&lt;=$E8)*(data_holdout!$D$2:$D$505&gt;=$F8)*(data_holdout!$D$2:$D$505&lt;$G8)*((($H8=0)+(data_holdout!$E$2:$E$505&lt;=5))&gt;0)*data_holdout!$K$2:$K$505)</f>
        <v/>
      </c>
      <c r="R8">
        <f>INT(N8*10000/M8)</f>
        <v/>
      </c>
      <c r="S8">
        <f>INT(O8*10000/M8)</f>
        <v/>
      </c>
      <c r="T8">
        <f>IF(K8=1,IF(J8="volume",INT((O8-MAX(0,Q8-INT(M8*0.15)))*10000/M8),INT((N8-MAX(0,P8-INT(M8*0.15)))*10000/M8)),IF(J8="volume",S8,R8))</f>
        <v/>
      </c>
      <c r="U8">
        <f>IF(AND(ROUND(I8*100,0)&lt;=IF(J8="volume",S8,R8)+50,ROUND(I8*100,0)&lt;=T8+50),"SUPPORTED","NOT_SUPPORTED")</f>
        <v/>
      </c>
      <c r="V8">
        <f>U8=L8</f>
        <v/>
      </c>
    </row>
    <row r="9">
      <c r="A9" t="inlineStr">
        <is>
          <t>H08</t>
        </is>
      </c>
      <c r="B9" t="inlineStr">
        <is>
          <t>Cloudline Data Center: 100% of this week's consumption was covered by renewable certificate purchases.</t>
        </is>
      </c>
      <c r="C9" t="inlineStr">
        <is>
          <t>CLOUDLINE-DC</t>
        </is>
      </c>
      <c r="D9" t="n">
        <v>1</v>
      </c>
      <c r="E9" t="n">
        <v>7</v>
      </c>
      <c r="F9" t="n">
        <v>0</v>
      </c>
      <c r="G9" t="n">
        <v>24</v>
      </c>
      <c r="H9" t="n">
        <v>0</v>
      </c>
      <c r="I9" t="n">
        <v>100</v>
      </c>
      <c r="J9" t="inlineStr">
        <is>
          <t>volume</t>
        </is>
      </c>
      <c r="K9" t="n">
        <v>0</v>
      </c>
      <c r="L9" t="inlineStr">
        <is>
          <t>SUPPORTED</t>
        </is>
      </c>
      <c r="M9">
        <f>SUMPRODUCT((data_holdout!$A$2:$A$505=$C9)*(data_holdout!$C$2:$C$505&gt;=$D9)*(data_holdout!$C$2:$C$505&lt;=$E9)*(data_holdout!$D$2:$D$505&gt;=$F9)*(data_holdout!$D$2:$D$505&lt;$G9)*((($H9=0)+(data_holdout!$E$2:$E$505&lt;=5))&gt;0)*data_holdout!$F$2:$F$505)</f>
        <v/>
      </c>
      <c r="N9">
        <f>SUMPRODUCT((data_holdout!$A$2:$A$505=$C9)*(data_holdout!$C$2:$C$505&gt;=$D9)*(data_holdout!$C$2:$C$505&lt;=$E9)*(data_holdout!$D$2:$D$505&gt;=$F9)*(data_holdout!$D$2:$D$505&lt;$G9)*((($H9=0)+(data_holdout!$E$2:$E$505&lt;=5))&gt;0)*data_holdout!$L$2:$L$505)</f>
        <v/>
      </c>
      <c r="O9">
        <f>SUMPRODUCT((data_holdout!$A$2:$A$505=$C9)*(data_holdout!$C$2:$C$505&gt;=$D9)*(data_holdout!$C$2:$C$505&lt;=$E9)*(data_holdout!$D$2:$D$505&gt;=$F9)*(data_holdout!$D$2:$D$505&lt;$G9)*((($H9=0)+(data_holdout!$E$2:$E$505&lt;=5))&gt;0)*data_holdout!$J$2:$J$505)</f>
        <v/>
      </c>
      <c r="P9">
        <f>SUMPRODUCT((data_holdout!$A$2:$A$505=$C9)*(data_holdout!$C$2:$C$505&gt;=$D9)*(data_holdout!$C$2:$C$505&lt;=$E9)*(data_holdout!$D$2:$D$505&gt;=$F9)*(data_holdout!$D$2:$D$505&lt;$G9)*((($H9=0)+(data_holdout!$E$2:$E$505&lt;=5))&gt;0)*data_holdout!$M$2:$M$505)</f>
        <v/>
      </c>
      <c r="Q9">
        <f>SUMPRODUCT((data_holdout!$A$2:$A$505=$C9)*(data_holdout!$C$2:$C$505&gt;=$D9)*(data_holdout!$C$2:$C$505&lt;=$E9)*(data_holdout!$D$2:$D$505&gt;=$F9)*(data_holdout!$D$2:$D$505&lt;$G9)*((($H9=0)+(data_holdout!$E$2:$E$505&lt;=5))&gt;0)*data_holdout!$K$2:$K$505)</f>
        <v/>
      </c>
      <c r="R9">
        <f>INT(N9*10000/M9)</f>
        <v/>
      </c>
      <c r="S9">
        <f>INT(O9*10000/M9)</f>
        <v/>
      </c>
      <c r="T9">
        <f>IF(K9=1,IF(J9="volume",INT((O9-MAX(0,Q9-INT(M9*0.15)))*10000/M9),INT((N9-MAX(0,P9-INT(M9*0.15)))*10000/M9)),IF(J9="volume",S9,R9))</f>
        <v/>
      </c>
      <c r="U9">
        <f>IF(AND(ROUND(I9*100,0)&lt;=IF(J9="volume",S9,R9)+50,ROUND(I9*100,0)&lt;=T9+50),"SUPPORTED","NOT_SUPPORTED")</f>
        <v/>
      </c>
      <c r="V9">
        <f>U9=L9</f>
        <v/>
      </c>
    </row>
    <row r="11">
      <c r="A11" t="inlineStr">
        <is>
          <t>correct</t>
        </is>
      </c>
      <c r="B11">
        <f>COUNTIF(V2:V9,TRUE)</f>
        <v/>
      </c>
      <c r="C11" t="inlineStr">
        <is>
          <t>of</t>
        </is>
      </c>
      <c r="D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2026-10-14T17:19:19Z</dcterms:created>
  <dcterms:modified xmlns:dcterms="http://purl.org/dc/terms/" xmlns:xsi="http://www.w3.org/2001/XMLSchema-instance" xsi:type="dcterms:W3CDTF">2026-10-14T17:19:19Z</dcterms:modified>
</cp:coreProperties>
</file>